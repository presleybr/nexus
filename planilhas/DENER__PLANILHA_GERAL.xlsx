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NER\"/>
    </mc:Choice>
  </mc:AlternateContent>
  <xr:revisionPtr revIDLastSave="0" documentId="13_ncr:1_{75EF00B7-5DE4-4152-8799-6134CD0606DC}" xr6:coauthVersionLast="47" xr6:coauthVersionMax="47" xr10:uidLastSave="{00000000-0000-0000-0000-000000000000}"/>
  <bookViews>
    <workbookView xWindow="-120" yWindow="-120" windowWidth="20730" windowHeight="11040" xr2:uid="{DE96E54F-6DD0-41ED-9869-F050B5709100}"/>
  </bookViews>
  <sheets>
    <sheet name="PLANILHA GERAL " sheetId="1" r:id="rId1"/>
    <sheet name="Planilha1" sheetId="7" r:id="rId2"/>
    <sheet name="CONTROLE DE VENDAS " sheetId="2" r:id="rId3"/>
    <sheet name="COMISSÃO 4º PARCELA" sheetId="6" r:id="rId4"/>
    <sheet name="CANCELADO" sheetId="4" r:id="rId5"/>
    <sheet name="VENDAS ANUAIS" sheetId="3" r:id="rId6"/>
  </sheets>
  <externalReferences>
    <externalReference r:id="rId7"/>
  </externalReferences>
  <definedNames>
    <definedName name="_xlnm._FilterDatabase" localSheetId="0" hidden="1">'PLANILHA GERAL '!$A$13:$V$166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5" i="2" l="1"/>
  <c r="C235" i="2" l="1"/>
  <c r="C191" i="2" l="1"/>
  <c r="C13" i="3" s="1"/>
  <c r="C155" i="2" l="1"/>
  <c r="C12" i="3" s="1"/>
  <c r="C127" i="2" l="1"/>
  <c r="C11" i="3" s="1"/>
  <c r="C94" i="2" l="1"/>
  <c r="C16" i="3" l="1"/>
  <c r="C15" i="3"/>
  <c r="C14" i="3"/>
  <c r="C9" i="3"/>
  <c r="C8" i="3" s="1"/>
  <c r="G299" i="2"/>
  <c r="C299" i="2"/>
  <c r="G265" i="2"/>
  <c r="G235" i="2"/>
  <c r="G191" i="2"/>
  <c r="G155" i="2"/>
  <c r="G94" i="2"/>
  <c r="G61" i="2"/>
  <c r="C61" i="2"/>
  <c r="G31" i="2"/>
  <c r="C31" i="2"/>
  <c r="C17" i="3" l="1"/>
</calcChain>
</file>

<file path=xl/sharedStrings.xml><?xml version="1.0" encoding="utf-8"?>
<sst xmlns="http://schemas.openxmlformats.org/spreadsheetml/2006/main" count="2894" uniqueCount="694">
  <si>
    <t xml:space="preserve">SITUAÇÃO NORMAL
</t>
  </si>
  <si>
    <t>COTA CANCELADA -PLANILHA COTAS CANC.</t>
  </si>
  <si>
    <t>SERASA / PROTESTO</t>
  </si>
  <si>
    <t>Parcela (S) em atraso / (OU)Negociação</t>
  </si>
  <si>
    <t>CONTEMPLADOS</t>
  </si>
  <si>
    <t>CONSORCIADOS PONTO 16254</t>
  </si>
  <si>
    <t>CONSORCIADOS PONTO 17308</t>
  </si>
  <si>
    <t>LANCE OFERTADO</t>
  </si>
  <si>
    <t>REATIVAÇÃO DE COTAS</t>
  </si>
  <si>
    <t>Parcelas</t>
  </si>
  <si>
    <t>CPF</t>
  </si>
  <si>
    <t xml:space="preserve"> G/C</t>
  </si>
  <si>
    <t xml:space="preserve">LANCE </t>
  </si>
  <si>
    <t>BOLETOS</t>
  </si>
  <si>
    <t>SITUAÇÃO</t>
  </si>
  <si>
    <t>Concorciado</t>
  </si>
  <si>
    <t xml:space="preserve">  P.V</t>
  </si>
  <si>
    <t>Valor</t>
  </si>
  <si>
    <t>PARC.</t>
  </si>
  <si>
    <t>data pgtº</t>
  </si>
  <si>
    <t>Em dia</t>
  </si>
  <si>
    <t>-</t>
  </si>
  <si>
    <t>5º parcela</t>
  </si>
  <si>
    <t>6º parcela</t>
  </si>
  <si>
    <t>7º parcela</t>
  </si>
  <si>
    <t>4º parcela</t>
  </si>
  <si>
    <t>3º parcela</t>
  </si>
  <si>
    <t>1º parcela</t>
  </si>
  <si>
    <t>2º parcela</t>
  </si>
  <si>
    <t>RELATÓRIO DE VENDAS</t>
  </si>
  <si>
    <t>RELATÓRIO 01 A 31 DE ABRIL</t>
  </si>
  <si>
    <t>VENDAS 16/03 Á 15/04</t>
  </si>
  <si>
    <t>DATA</t>
  </si>
  <si>
    <t>CONSORCIADO</t>
  </si>
  <si>
    <t>VALOR</t>
  </si>
  <si>
    <t>TOTAL....................................</t>
  </si>
  <si>
    <t>RELATÓRIO 01 A 30  DE MAIO</t>
  </si>
  <si>
    <t>VENDAS 16/04 Á 15/05</t>
  </si>
  <si>
    <t>RELATÓRIO 01 A 30  DE JUNHO</t>
  </si>
  <si>
    <t>VENDAS 16/05 Á 15/06</t>
  </si>
  <si>
    <t>RELATÓRIO 01 A 31 DE JULHO</t>
  </si>
  <si>
    <t>RELATORIO 16/07 Á 15/08</t>
  </si>
  <si>
    <t>RELATÓRIO 01 A 30 DE AGOSTO</t>
  </si>
  <si>
    <t>RELATORIO 16/08 Á 15/09</t>
  </si>
  <si>
    <t>RELATÓRIO 01 A 31 DE SETEMBRO</t>
  </si>
  <si>
    <t>RELATORIO 16/09 Á 15/10</t>
  </si>
  <si>
    <t>RELATÓRIO 01 A 30  DE OUTUBRO</t>
  </si>
  <si>
    <t>RELATORIO 16/10 Á 15/11</t>
  </si>
  <si>
    <t>RELATÓRIO 01 A 30  DE NOVEMBRO</t>
  </si>
  <si>
    <t>RELATORIO 16/11 Á 15/12</t>
  </si>
  <si>
    <t>RELATÓRIO 01 A 30  DE DEZEMBRO</t>
  </si>
  <si>
    <t>EZEQUIAS</t>
  </si>
  <si>
    <t>PLANILHA ATUALIZADA 2025</t>
  </si>
  <si>
    <t>PLANILHA ANUAL DE VENDAS DE  2025</t>
  </si>
  <si>
    <t>MÊS</t>
  </si>
  <si>
    <t>TOLTAL VENDAS</t>
  </si>
  <si>
    <t>ABRIL 01 A 30</t>
  </si>
  <si>
    <t>MAIO 01 A 30</t>
  </si>
  <si>
    <t>JULHO 01 A 30</t>
  </si>
  <si>
    <t>AGOSTO 01 A 30</t>
  </si>
  <si>
    <t>SETEMBRO 01 A 30</t>
  </si>
  <si>
    <t>OUTUBRO 01 A 30</t>
  </si>
  <si>
    <t>NOVEMBRO 01 A 30</t>
  </si>
  <si>
    <t>DEZEMBRO 01 A 30</t>
  </si>
  <si>
    <t>TOTAL GERAL.....................</t>
  </si>
  <si>
    <t>GUSTAVO DUARTE DE SOUZA BRECHOL</t>
  </si>
  <si>
    <t>000.004.161-00</t>
  </si>
  <si>
    <t>JEFFERSON DOURADO MENDES</t>
  </si>
  <si>
    <t>032.345.421-63</t>
  </si>
  <si>
    <t>JOSE DE ALMEIDA</t>
  </si>
  <si>
    <t>8200 2118</t>
  </si>
  <si>
    <t>8200 2026</t>
  </si>
  <si>
    <t>8210 2048</t>
  </si>
  <si>
    <t>314.465.118-47</t>
  </si>
  <si>
    <t>JEFERSON MOREIRA</t>
  </si>
  <si>
    <t>968.245.141-87</t>
  </si>
  <si>
    <t>OSMAR CAVASSANI</t>
  </si>
  <si>
    <t>501.513.711-72</t>
  </si>
  <si>
    <t>RONALDO VIEIRA AMARAL DE SOUZA</t>
  </si>
  <si>
    <t>CONSULTOR: DENER.</t>
  </si>
  <si>
    <t>DENER</t>
  </si>
  <si>
    <t>GUSTAVO DUARTE DE SOUZA BRECHOL - 70%</t>
  </si>
  <si>
    <t>JEFFERSON DOURADO MENDES - 70%</t>
  </si>
  <si>
    <t>JOSE DE ALMEIDA 70%</t>
  </si>
  <si>
    <t>8310 2923</t>
  </si>
  <si>
    <t>JEFERSON MOREIRA - Naiara 70%</t>
  </si>
  <si>
    <t>OSMAR CAVASSANI 70%</t>
  </si>
  <si>
    <t>8210 2177</t>
  </si>
  <si>
    <t>012.772.611-05</t>
  </si>
  <si>
    <t>8210 1451</t>
  </si>
  <si>
    <t>ROSENILDO ALVES FRANCO</t>
  </si>
  <si>
    <t>LUCIENE GONCALVES CANDIDO</t>
  </si>
  <si>
    <t>018.992.861-10</t>
  </si>
  <si>
    <t>048.108.521-13</t>
  </si>
  <si>
    <t>IVALDO SENHOR DO NASCIMENTO</t>
  </si>
  <si>
    <t>200.067.561-15</t>
  </si>
  <si>
    <t>8210 1873</t>
  </si>
  <si>
    <t>ROSENILDO ALVES FRANCO 70%</t>
  </si>
  <si>
    <t>8210 2154</t>
  </si>
  <si>
    <r>
      <t xml:space="preserve">DENILSON DA SILVA - </t>
    </r>
    <r>
      <rPr>
        <b/>
        <sz val="12"/>
        <color rgb="FFFF0000"/>
        <rFont val="Calibri Light"/>
        <family val="2"/>
        <scheme val="major"/>
      </rPr>
      <t>IMOVEL 70%</t>
    </r>
  </si>
  <si>
    <t>715.287.061-61</t>
  </si>
  <si>
    <t>DENILSON DA SILVA - IMOVEL 70%</t>
  </si>
  <si>
    <t>HERMES DE SOUZA BALLEJO</t>
  </si>
  <si>
    <t>8210 0114</t>
  </si>
  <si>
    <t>655.269.450-49</t>
  </si>
  <si>
    <t>6650 3365</t>
  </si>
  <si>
    <t>LUIZ FELIPE CAVALHEIRO QUINTANILHA</t>
  </si>
  <si>
    <t>059.006.121-63</t>
  </si>
  <si>
    <t>8310 0807</t>
  </si>
  <si>
    <t>8210 1271</t>
  </si>
  <si>
    <t>MAURICIO GREGORIO DE OLIVEIRA</t>
  </si>
  <si>
    <t>915.852.521-15</t>
  </si>
  <si>
    <t>AMARILDO JULIO</t>
  </si>
  <si>
    <t>528.469.031-15</t>
  </si>
  <si>
    <t>HERMES DE SOUZA BALLEJO - 70%</t>
  </si>
  <si>
    <t>LUIZ FELIPE CAVALHEIRO QUINTANILHA- 70%</t>
  </si>
  <si>
    <t>MAURICIO GREGORIO DE OLIVEIRA - 70%</t>
  </si>
  <si>
    <t>ADRIANO DA ROSA</t>
  </si>
  <si>
    <t>040.201.101-58</t>
  </si>
  <si>
    <t>ADRIANO DA ROSA - 70%</t>
  </si>
  <si>
    <t>8210 2537</t>
  </si>
  <si>
    <t>8210 0779</t>
  </si>
  <si>
    <t>GEICE MORAIS FRANCO</t>
  </si>
  <si>
    <t>080.721.491-48</t>
  </si>
  <si>
    <t>GEICE MORAIS FRANCO - 70%</t>
  </si>
  <si>
    <t>LUCIMAR MENDONÇA DA LUZ</t>
  </si>
  <si>
    <t>596.064.521-15</t>
  </si>
  <si>
    <t>8210 1811</t>
  </si>
  <si>
    <t>8210 2186</t>
  </si>
  <si>
    <t>8210 2045</t>
  </si>
  <si>
    <t>ROBSON DA SILVA MIRANDA</t>
  </si>
  <si>
    <t>053.808.946-66</t>
  </si>
  <si>
    <t>086.497.231-87</t>
  </si>
  <si>
    <t>8210 1752</t>
  </si>
  <si>
    <t>LUCIMAR MENDONÇA DA LUZ - 70%</t>
  </si>
  <si>
    <t>MANOEL MOURA DE ANDRADE FILHO - 70%</t>
  </si>
  <si>
    <t>MANOEL MOURA DE ANDRADE FILHO</t>
  </si>
  <si>
    <t>ADRIAN DA SILVA PADILHA</t>
  </si>
  <si>
    <t>JOAO PEDRO CRATO</t>
  </si>
  <si>
    <t>075.084.491-42</t>
  </si>
  <si>
    <t>064.679.823-55</t>
  </si>
  <si>
    <t>JOAO PEDRO CRATO  - 70%</t>
  </si>
  <si>
    <t>ADRIAN DA SILVA PADILHA - 70%</t>
  </si>
  <si>
    <t>MATEUS OLIVEIRA DE JESUS</t>
  </si>
  <si>
    <t>8200 1636</t>
  </si>
  <si>
    <t>8210 0686</t>
  </si>
  <si>
    <t>8310 0409</t>
  </si>
  <si>
    <t>JUNHO 03 A 30</t>
  </si>
  <si>
    <t>IVALDO SENHOR DO NASCIMENTO - 70% MEGAZAP</t>
  </si>
  <si>
    <t>WELLINGTON JUNIOR RODRIGUES FERREIRA</t>
  </si>
  <si>
    <t>051.916.771-61</t>
  </si>
  <si>
    <t xml:space="preserve"> COTAS CANCELADAS</t>
  </si>
  <si>
    <t>JULHO DE 2025</t>
  </si>
  <si>
    <t>G/C</t>
  </si>
  <si>
    <t>PONTO VENDA</t>
  </si>
  <si>
    <t>JORGE LUIZ DE BAIRROS DIAS</t>
  </si>
  <si>
    <t>314.659.350-53</t>
  </si>
  <si>
    <t>8310 2390</t>
  </si>
  <si>
    <t>JULIA GRANJEIRO DA SILVA</t>
  </si>
  <si>
    <t>075.637.221-65</t>
  </si>
  <si>
    <t>8210 2590</t>
  </si>
  <si>
    <t>SILVANA PIMENTEL DA CUNHA</t>
  </si>
  <si>
    <t>MARIA RANIELLY GONÇALVES DOS SANTOS</t>
  </si>
  <si>
    <t>DOUGLAS MENDES GONÇALVES DA CRUZ</t>
  </si>
  <si>
    <t>638.337.781-72</t>
  </si>
  <si>
    <t>618.291.953-10</t>
  </si>
  <si>
    <t>070.577.901-71</t>
  </si>
  <si>
    <t>NIDIA LURDES WEBER</t>
  </si>
  <si>
    <t>257.578.301-15</t>
  </si>
  <si>
    <t>8210 0598</t>
  </si>
  <si>
    <t>8310 2613</t>
  </si>
  <si>
    <t>8201 1642</t>
  </si>
  <si>
    <t>WELLINGTON JUNIOR RODRIGUES FERREIRA 70%</t>
  </si>
  <si>
    <t>JORGE LUIZ DE BAIRROS DIAS 70%</t>
  </si>
  <si>
    <t>JULIA GRANJEIRO DA SILVA 70%</t>
  </si>
  <si>
    <t>SILVANA PIMENTEL DA CUNHA 70%</t>
  </si>
  <si>
    <t>MARIA RANIELLY GONÇALVES DOS SANTOS 70%</t>
  </si>
  <si>
    <t>DOUGLAS MENDES GONÇALVES DA CRUZ 70%</t>
  </si>
  <si>
    <t>NIDIA LURDES WEBER 70%</t>
  </si>
  <si>
    <t>8201 1552</t>
  </si>
  <si>
    <t>8310 1710</t>
  </si>
  <si>
    <t>WESLEY JUNIOR DIDEROT CHERISCAR</t>
  </si>
  <si>
    <t>708.990.571-36</t>
  </si>
  <si>
    <t>MAYARA KARLA DO NASCIMENTO</t>
  </si>
  <si>
    <t>089.744.809-05</t>
  </si>
  <si>
    <t>8201 0953</t>
  </si>
  <si>
    <t>MAYARA KARLA DO NASCIMENTO 70%</t>
  </si>
  <si>
    <t>8300 2296</t>
  </si>
  <si>
    <t>WESLEY JUNIOR DIDEROT CHERISCAR 70%</t>
  </si>
  <si>
    <t>MARCELO FERNANDES NUNES</t>
  </si>
  <si>
    <t>792.552.561-49</t>
  </si>
  <si>
    <t>FLAVIO SARATE FERREIRA</t>
  </si>
  <si>
    <t>035.507.241-60</t>
  </si>
  <si>
    <t>8310 2745</t>
  </si>
  <si>
    <t>PRORROGOU</t>
  </si>
  <si>
    <t>8210 0094</t>
  </si>
  <si>
    <t>MARIO QUINTANA CORREA DA COSTA</t>
  </si>
  <si>
    <t>421.521.941-87</t>
  </si>
  <si>
    <t>8210 1550</t>
  </si>
  <si>
    <t>GABRIELLY DA SILVA NUNES</t>
  </si>
  <si>
    <t>064.035.921-30</t>
  </si>
  <si>
    <t>GABRIELA DE OLIVEIRA ZALESKI</t>
  </si>
  <si>
    <t>031.785.681-23</t>
  </si>
  <si>
    <t>NATALIA OLIVEIRA DA SILVA</t>
  </si>
  <si>
    <t>8310 2546</t>
  </si>
  <si>
    <t>8210 0097</t>
  </si>
  <si>
    <t>MARIANO AUGUSTO JAVETA</t>
  </si>
  <si>
    <t>THASSYANE APARECIDA GARCIA ESCOBAR</t>
  </si>
  <si>
    <t>JOSE IVAN FLORES</t>
  </si>
  <si>
    <t>GUSTAVO TRINDADE ORTEGA</t>
  </si>
  <si>
    <t>LAURO BISPO OSTENIANO</t>
  </si>
  <si>
    <t>068.320.101-84</t>
  </si>
  <si>
    <t>8210 1360</t>
  </si>
  <si>
    <t>THASSYANE APARECIDA GARCIA ESCOBAR- 70%</t>
  </si>
  <si>
    <t>926.706.281-68</t>
  </si>
  <si>
    <t>8300 1198</t>
  </si>
  <si>
    <t>706.716.881-38</t>
  </si>
  <si>
    <t>8210 2807</t>
  </si>
  <si>
    <t>GUSTAVO TRINDADE ORTEGA 70%</t>
  </si>
  <si>
    <t>JOSE IVAN FLORES 70%</t>
  </si>
  <si>
    <t>057.871.851-02</t>
  </si>
  <si>
    <t>6660 2719</t>
  </si>
  <si>
    <t>066.380.561-90</t>
  </si>
  <si>
    <t>8310 1808</t>
  </si>
  <si>
    <t xml:space="preserve"> LINNIKER VINICIUS ORTEGA RAMOS</t>
  </si>
  <si>
    <r>
      <t xml:space="preserve">LAURO BISPO OSTENIANO - </t>
    </r>
    <r>
      <rPr>
        <b/>
        <sz val="12"/>
        <color rgb="FFFF0000"/>
        <rFont val="Calibri Light"/>
        <family val="2"/>
        <scheme val="major"/>
      </rPr>
      <t>IMOVEL 50%</t>
    </r>
  </si>
  <si>
    <t xml:space="preserve"> LINNIKER VINICIUS ORTEGA RAMOS 70%</t>
  </si>
  <si>
    <t xml:space="preserve"> MIRIAN MICHELI ALVES    70%</t>
  </si>
  <si>
    <t xml:space="preserve"> MIRIAN MICHELI ALVES</t>
  </si>
  <si>
    <t>8210 0182</t>
  </si>
  <si>
    <t>481.672.901-15</t>
  </si>
  <si>
    <t>8310 1734</t>
  </si>
  <si>
    <t>KAROLINA BARBOSA DOURADO</t>
  </si>
  <si>
    <t>LEILIANE ORIOZOLA QUIRINO</t>
  </si>
  <si>
    <t>VANESSA DA SILVA ORTEGA</t>
  </si>
  <si>
    <t xml:space="preserve"> 717.877.111-96</t>
  </si>
  <si>
    <t>8210 0590</t>
  </si>
  <si>
    <t>038.646.401-48</t>
  </si>
  <si>
    <t>8310 0249</t>
  </si>
  <si>
    <t>070.292.511-05</t>
  </si>
  <si>
    <t>AMARILDO JULIO- 70% MEGAZAP</t>
  </si>
  <si>
    <t>ROBSON DA SILVA MIRANDA - 70% MEGAZAP</t>
  </si>
  <si>
    <t>CARLOS CENTURION GAMARRA JUNIOR</t>
  </si>
  <si>
    <t>072.788.951-62</t>
  </si>
  <si>
    <t>8210 2535</t>
  </si>
  <si>
    <t>PAULO AUGUSTO BENITES DOS SANTOS</t>
  </si>
  <si>
    <t>LUIS FELIPE DA SILVA BEZERRA</t>
  </si>
  <si>
    <t>032.423.811-81</t>
  </si>
  <si>
    <t xml:space="preserve"> 086.044.923-80</t>
  </si>
  <si>
    <t>8210 0074</t>
  </si>
  <si>
    <t>8210 2441</t>
  </si>
  <si>
    <t>8310 0882</t>
  </si>
  <si>
    <t>543.095.571-04</t>
  </si>
  <si>
    <t>PEDRO DE LIMA DA SILVA</t>
  </si>
  <si>
    <t xml:space="preserve"> 120.269.084-00</t>
  </si>
  <si>
    <t>ZACARIAS DOS SANTOS ARCANJO</t>
  </si>
  <si>
    <t>706.840.181-36</t>
  </si>
  <si>
    <t>8210 0668</t>
  </si>
  <si>
    <t>DIEGO VICTOR LINO</t>
  </si>
  <si>
    <t>006.001.181-50</t>
  </si>
  <si>
    <t>6660 3344</t>
  </si>
  <si>
    <t>8210 2719</t>
  </si>
  <si>
    <t>041.790.321-98</t>
  </si>
  <si>
    <t>KAROLINA BARBOSA DOURADO 50%</t>
  </si>
  <si>
    <t>NATALIA OLIVEIRA DA SILVA 70%</t>
  </si>
  <si>
    <t>PEDRO DE LIMA DA SILVA 70%</t>
  </si>
  <si>
    <t>LUIS FELIPE DA SILVA BEZERRA 70%</t>
  </si>
  <si>
    <t>PAULO AUGUSTO BENITES DOS SANTOS 70%</t>
  </si>
  <si>
    <t>VANESSA DA SILVA ORTEGA 70%</t>
  </si>
  <si>
    <t>CARLOS CENTURION GAMARRA JUNIOR 70%</t>
  </si>
  <si>
    <t>LEILIANE ORIOZOLA QUIRINO 70%</t>
  </si>
  <si>
    <t>DIEGO VICTOR LINO 70%</t>
  </si>
  <si>
    <t>8101 1838</t>
  </si>
  <si>
    <t>FRANCISCO DE ASSIS NEVES</t>
  </si>
  <si>
    <t>MAURICIO TEODORO RODRIGUES JUNIOR</t>
  </si>
  <si>
    <t>321.050.451-20</t>
  </si>
  <si>
    <t>8210 1175</t>
  </si>
  <si>
    <t>062.927.841-50</t>
  </si>
  <si>
    <t>8300 2699</t>
  </si>
  <si>
    <t>MILAINE SILVA FRANCO BATISTA</t>
  </si>
  <si>
    <t>005.149.061-70</t>
  </si>
  <si>
    <t>MILAINE SILVA FRANCO BATISTA 50%</t>
  </si>
  <si>
    <t>8310 0946</t>
  </si>
  <si>
    <t>EDUARDO CRISANTO PAROBA</t>
  </si>
  <si>
    <t>ISAI EVANGELISTA DE MOURA</t>
  </si>
  <si>
    <t>021.342.591-24</t>
  </si>
  <si>
    <t>078.510.131-43</t>
  </si>
  <si>
    <t>RONALDO VIEIRA AMARAL DE SOUZA ( carta contemplada)</t>
  </si>
  <si>
    <t>8310 1427</t>
  </si>
  <si>
    <t>6660 1844</t>
  </si>
  <si>
    <t>8310 2305</t>
  </si>
  <si>
    <t>VALDECI MARTINS</t>
  </si>
  <si>
    <t>ANDERSON DIAS SABALA</t>
  </si>
  <si>
    <t xml:space="preserve"> 601.207.063-26</t>
  </si>
  <si>
    <t xml:space="preserve"> 818.482.851-91</t>
  </si>
  <si>
    <t>INADIMPLENTE</t>
  </si>
  <si>
    <t>8400 0835</t>
  </si>
  <si>
    <t>8210 2394</t>
  </si>
  <si>
    <t>CONTEMPLADO</t>
  </si>
  <si>
    <t>MARCOS DA SILVA ALBRES</t>
  </si>
  <si>
    <t>MARCOS DA SILVA ALBRES 50%</t>
  </si>
  <si>
    <t>ANDERSON DIAS SABALA 50%</t>
  </si>
  <si>
    <t>VALDECI MARTINS 50%</t>
  </si>
  <si>
    <t>045.830.241-42</t>
  </si>
  <si>
    <t>JOSE EUDES JORGE FERREIRA</t>
  </si>
  <si>
    <t>007.044.671-78</t>
  </si>
  <si>
    <t>ADRIEL DE JESUS FERREIRA ARAUJO 50%</t>
  </si>
  <si>
    <t>JOSE EUDES JORGE FERREIRA 50%</t>
  </si>
  <si>
    <t>017.263.693-07</t>
  </si>
  <si>
    <t>8310 2505</t>
  </si>
  <si>
    <t>8310 0052</t>
  </si>
  <si>
    <t>8310 1974</t>
  </si>
  <si>
    <t>FABIANO DOS SANTOS</t>
  </si>
  <si>
    <t>FABIANO DOS SANTOS 70 %</t>
  </si>
  <si>
    <t>061.118.979-85</t>
  </si>
  <si>
    <t>8210 1225</t>
  </si>
  <si>
    <t>RODRIGO VALLENTE RIVAS</t>
  </si>
  <si>
    <t>063.723.271-20</t>
  </si>
  <si>
    <t>RODRIGO VALLENTE RIVAS  70 %</t>
  </si>
  <si>
    <t xml:space="preserve">LUIZ PEREIRA DA SILVA </t>
  </si>
  <si>
    <t>LUCIANO FIGUEIREDO DOS SANTOS</t>
  </si>
  <si>
    <t>ADRIANA APARECIDA FERREIRA</t>
  </si>
  <si>
    <t>ADILSON BARROS CORREA JUNIO</t>
  </si>
  <si>
    <t xml:space="preserve">DATA DA SOLICITAÇÃO:         </t>
  </si>
  <si>
    <t>PARCELA</t>
  </si>
  <si>
    <t>P.V</t>
  </si>
  <si>
    <t>ADRIEL FERNANDO DE OLIVEIRA</t>
  </si>
  <si>
    <t>8210 1697</t>
  </si>
  <si>
    <t>8310 0392</t>
  </si>
  <si>
    <t xml:space="preserve">084.245.351-20 </t>
  </si>
  <si>
    <t>LUIS PEREIRA DA SILVA 50%</t>
  </si>
  <si>
    <t>021.181.891-76</t>
  </si>
  <si>
    <t>8210 2609</t>
  </si>
  <si>
    <t>LUCIANO FIGUEIREDO DOS SANTOS 70%</t>
  </si>
  <si>
    <t>291.493.498-05</t>
  </si>
  <si>
    <t>ADRIANA APARECIDA FERREIRA 50%</t>
  </si>
  <si>
    <t>055.411.261-26</t>
  </si>
  <si>
    <t>061.134.554-40</t>
  </si>
  <si>
    <t>8310 1892</t>
  </si>
  <si>
    <t>ADILSON BARROS CORREA JUNIO 50%</t>
  </si>
  <si>
    <t>MARCOS VINICIUS PARACHAI</t>
  </si>
  <si>
    <t>MARCOS VINICIUS PARACHAI 50%</t>
  </si>
  <si>
    <t>073.448.391-05</t>
  </si>
  <si>
    <t>8210 2128</t>
  </si>
  <si>
    <t>ALCIDES APARECIDO BRANCO DE OLIVEIRA</t>
  </si>
  <si>
    <t>ALCIDES APARECIDO BRANCO DE OLIVEIRA- 70%</t>
  </si>
  <si>
    <t>572.514.011-34</t>
  </si>
  <si>
    <t>8210 1859</t>
  </si>
  <si>
    <t>8310 1635</t>
  </si>
  <si>
    <t>MARCELO DA SILVA MELO JUNIOR</t>
  </si>
  <si>
    <t xml:space="preserve"> 064.085.071-58</t>
  </si>
  <si>
    <t>MARCELO DA SILVA MELO JUNIOR 70%</t>
  </si>
  <si>
    <t>WELLINGTON CEZAR LOPES 70%</t>
  </si>
  <si>
    <t>8310 0574</t>
  </si>
  <si>
    <t>857.314.981-72</t>
  </si>
  <si>
    <t>8310 0035</t>
  </si>
  <si>
    <t xml:space="preserve">IVALDO SENHOR DO NASCIMENTO </t>
  </si>
  <si>
    <t>DENILSON DA SILVA</t>
  </si>
  <si>
    <t>Liberado</t>
  </si>
  <si>
    <t xml:space="preserve">MICHAEL DOUGLAS FRANCISCO DA SILVA </t>
  </si>
  <si>
    <t>WELLINGTON CEZAR LOPES</t>
  </si>
  <si>
    <t>SAMYA MARA MARTINEZ</t>
  </si>
  <si>
    <t>SAMYA MARA MARTINEZ 50%</t>
  </si>
  <si>
    <t>057.023.261-99</t>
  </si>
  <si>
    <t>8310 0598</t>
  </si>
  <si>
    <t>MICHAEL DOUGLAS FRANCISCO DA SILVA  70%</t>
  </si>
  <si>
    <t>018.680.611-67</t>
  </si>
  <si>
    <t xml:space="preserve">ROZILENE RODRIGUES DA SILVA RIBEIRO </t>
  </si>
  <si>
    <t xml:space="preserve">YURI CABRAL DE OLIVEIRA </t>
  </si>
  <si>
    <t>MACELIO MATOS CORREIA</t>
  </si>
  <si>
    <t>ISAQUE CARDOSO DOS SANTOS</t>
  </si>
  <si>
    <t>CLEITON VISCARDI BOTTCHER</t>
  </si>
  <si>
    <t>144.109.288-99</t>
  </si>
  <si>
    <t>8310 0017</t>
  </si>
  <si>
    <t>173.086.786-36</t>
  </si>
  <si>
    <t>8210 1372</t>
  </si>
  <si>
    <t>708.832.681-75</t>
  </si>
  <si>
    <t>8210 1245</t>
  </si>
  <si>
    <t>062.766.111-40</t>
  </si>
  <si>
    <t>026.493.641-81</t>
  </si>
  <si>
    <t>8310 1801</t>
  </si>
  <si>
    <t>RONNY SOUZA DA SILVA 70%</t>
  </si>
  <si>
    <t>ISAQUE CARDOSO DOS SANTOS 70%</t>
  </si>
  <si>
    <t>MACELIO MATOS CORREIA 70%</t>
  </si>
  <si>
    <t>YURI CABRAL DE OLIVEIRA 70%</t>
  </si>
  <si>
    <t>ROZILENE RODRIGUES DA SILVA RIBEIRO 50%</t>
  </si>
  <si>
    <t xml:space="preserve">RONNY SOUZA DA SILVA </t>
  </si>
  <si>
    <t>LUIZ KLEBER NEPOMUCENO NETO</t>
  </si>
  <si>
    <t>LUIZ KLEBER NEPOMUCENO NETO 70%</t>
  </si>
  <si>
    <t>069.708.641-03</t>
  </si>
  <si>
    <t>972.352.371-04</t>
  </si>
  <si>
    <t>8210 1007</t>
  </si>
  <si>
    <t>6660 3457</t>
  </si>
  <si>
    <r>
      <t>CLEITON VISCARDI BOTTCHER 50%</t>
    </r>
    <r>
      <rPr>
        <b/>
        <sz val="12"/>
        <color rgb="FFFF0000"/>
        <rFont val="Calibri Light"/>
        <family val="2"/>
        <scheme val="major"/>
      </rPr>
      <t xml:space="preserve"> IMOVEL</t>
    </r>
  </si>
  <si>
    <t>6660 0051</t>
  </si>
  <si>
    <t>8310 1758</t>
  </si>
  <si>
    <t>8310 2695</t>
  </si>
  <si>
    <t>LARISSA ISABELA PINHO DA SILVA</t>
  </si>
  <si>
    <t>038.423.621-96</t>
  </si>
  <si>
    <t>6601 0858</t>
  </si>
  <si>
    <t>LARISSA ISABELA PINHO DA SILVA 70%</t>
  </si>
  <si>
    <t>ISAI EVANGELISTA DE MOURA 70%- JÁ NEGOCIADO</t>
  </si>
  <si>
    <t>ISAI EVANGELISTA DE MOURA 50%-  JÁ NEGOCIADO</t>
  </si>
  <si>
    <t>VOLTA OUT</t>
  </si>
  <si>
    <t>16.09.2025</t>
  </si>
  <si>
    <t>SETEMBRO  DE 2025</t>
  </si>
  <si>
    <t>081.494.621-63</t>
  </si>
  <si>
    <t>RENATO ALVES DE ATAIDE 70%</t>
  </si>
  <si>
    <t>8310 2730</t>
  </si>
  <si>
    <t>GABRIEL  CRUZ DA SILVA</t>
  </si>
  <si>
    <t xml:space="preserve">GABRIEL CRUZ DA SILVA </t>
  </si>
  <si>
    <t xml:space="preserve">JOAO EDUARDO CORREA MOURA </t>
  </si>
  <si>
    <t>087.554.891-17</t>
  </si>
  <si>
    <t>8201 2236</t>
  </si>
  <si>
    <t>000.596.471-75</t>
  </si>
  <si>
    <t>8201 2628</t>
  </si>
  <si>
    <t xml:space="preserve">ADONIRAN PEREIRA  DE LIRA </t>
  </si>
  <si>
    <t>079.172.394-11</t>
  </si>
  <si>
    <t>058.468.501-70</t>
  </si>
  <si>
    <t>WILLAMES PAULO SILVA DE OLIVEIRA 50%</t>
  </si>
  <si>
    <t>051.678.961-93</t>
  </si>
  <si>
    <t>OSMAR SA DE SOUZA</t>
  </si>
  <si>
    <t>8310 1621</t>
  </si>
  <si>
    <t xml:space="preserve">ERICA VITORIA OLIVEIRA MATOS </t>
  </si>
  <si>
    <t>100.620.851-82</t>
  </si>
  <si>
    <t xml:space="preserve">CLARIDO DO ESPIRITO SANTO NASCIMENTO </t>
  </si>
  <si>
    <t>031.267.151-25</t>
  </si>
  <si>
    <t>8310 2760</t>
  </si>
  <si>
    <t>8201 2786</t>
  </si>
  <si>
    <t>8201 2695</t>
  </si>
  <si>
    <t xml:space="preserve">MIGUEL CAMPOS NUNES </t>
  </si>
  <si>
    <t xml:space="preserve">LEONARDO DAVI MACIEL NOGUEIRA </t>
  </si>
  <si>
    <t xml:space="preserve">HALLANE DE AS DA SILVA </t>
  </si>
  <si>
    <t>WESLLEY OSNEI ROCHA DA SILVA</t>
  </si>
  <si>
    <t>PEDRO PAULO DA SILVA PEREIRA</t>
  </si>
  <si>
    <t>WESLEY MOREIRA SOARES</t>
  </si>
  <si>
    <t xml:space="preserve">ANDERSON TARAMELLI DOS SANTOS </t>
  </si>
  <si>
    <t>016.857.791-74</t>
  </si>
  <si>
    <t>094.937.741-47</t>
  </si>
  <si>
    <t>8201 2568</t>
  </si>
  <si>
    <t>049.235.681-51</t>
  </si>
  <si>
    <t>8310 2430</t>
  </si>
  <si>
    <t>092.807.251-73</t>
  </si>
  <si>
    <t>8210 1783</t>
  </si>
  <si>
    <t xml:space="preserve">HALANNE DE AS DA SILVA </t>
  </si>
  <si>
    <t>019.047.941-81</t>
  </si>
  <si>
    <t>8201 2152</t>
  </si>
  <si>
    <t>057.458.831-03</t>
  </si>
  <si>
    <t>8201 2116</t>
  </si>
  <si>
    <t>8310 1219</t>
  </si>
  <si>
    <t>8201 2980</t>
  </si>
  <si>
    <t xml:space="preserve">CELSO RICARDI MARTINS </t>
  </si>
  <si>
    <t xml:space="preserve">BEATRIZ  OLIVEIRA FERREIRA </t>
  </si>
  <si>
    <t>BEATRIZ  OLIVEIRA FERREIRA</t>
  </si>
  <si>
    <t>097.654.781-35</t>
  </si>
  <si>
    <t>8201 2815</t>
  </si>
  <si>
    <t xml:space="preserve">JEFERSOM HENRIQUE EVANGELISTA OLIVEIRA DOS SANTOS </t>
  </si>
  <si>
    <t xml:space="preserve">SARA DIANA MARQUES DA SILVA </t>
  </si>
  <si>
    <t>V</t>
  </si>
  <si>
    <t>07/10/025</t>
  </si>
  <si>
    <t>082.063.831-58</t>
  </si>
  <si>
    <t>8210 1504</t>
  </si>
  <si>
    <t>608.187.271-87</t>
  </si>
  <si>
    <t>8210 1750</t>
  </si>
  <si>
    <t>NATALIO RIBEIRO DA SILVA</t>
  </si>
  <si>
    <t>098.047.806-58</t>
  </si>
  <si>
    <t>8201 2098</t>
  </si>
  <si>
    <t>027.428.061-21</t>
  </si>
  <si>
    <t>8201 2868</t>
  </si>
  <si>
    <t>liberada</t>
  </si>
  <si>
    <t>09/10/025</t>
  </si>
  <si>
    <t>VANDERSON SANTANA</t>
  </si>
  <si>
    <t>VANDERSON SANTANA 50%</t>
  </si>
  <si>
    <t>RICARDO FEITOSA SANTOS</t>
  </si>
  <si>
    <t>LUDIO DOS SANTOS FERREIRA</t>
  </si>
  <si>
    <t>DEYVID BRITO SALES</t>
  </si>
  <si>
    <t>614.549.151-53</t>
  </si>
  <si>
    <t>8210 1054</t>
  </si>
  <si>
    <t>218.456.688-80</t>
  </si>
  <si>
    <t>8310 1674</t>
  </si>
  <si>
    <t>184.690.908-28</t>
  </si>
  <si>
    <t>8201 2579</t>
  </si>
  <si>
    <t>ANDERSON PEREIRA ACHAR</t>
  </si>
  <si>
    <t>8300 0322</t>
  </si>
  <si>
    <t>103.439.533-58</t>
  </si>
  <si>
    <t>8310 0959</t>
  </si>
  <si>
    <t>010.238.401-03</t>
  </si>
  <si>
    <t>8310 2881</t>
  </si>
  <si>
    <t>942.767.141-68</t>
  </si>
  <si>
    <t>8310 2342</t>
  </si>
  <si>
    <t>LUZ MARIELA RODRIGUEZ VILLALBA LOBO</t>
  </si>
  <si>
    <t>GERFSON HATTENE DE SOUZA</t>
  </si>
  <si>
    <t>WESLEI MOREIRA SOARES</t>
  </si>
  <si>
    <t>ISMAEL ALVES DOS SANTOS</t>
  </si>
  <si>
    <t>111.442.788-80</t>
  </si>
  <si>
    <t>8310 0616</t>
  </si>
  <si>
    <t>WILLIAN DA SILVA FREITAS 50%</t>
  </si>
  <si>
    <t>040.501.911-48</t>
  </si>
  <si>
    <t>8310 1697</t>
  </si>
  <si>
    <t>778.617.791-49</t>
  </si>
  <si>
    <t>8310 1509</t>
  </si>
  <si>
    <t>EMERSON SANTOS DE PAULA</t>
  </si>
  <si>
    <t>ZACARIAS DOS SANTOS ARCANJO IMOVEL  70%</t>
  </si>
  <si>
    <t>VICTOR WANDER GOMES DIAS</t>
  </si>
  <si>
    <t>ANTONIO DOS SANTOS SOBRINHO JUNIOR</t>
  </si>
  <si>
    <t>084.050.571-02</t>
  </si>
  <si>
    <t>8310 1155</t>
  </si>
  <si>
    <t>012.005.431-06</t>
  </si>
  <si>
    <t>84000 0217</t>
  </si>
  <si>
    <t xml:space="preserve"> 060.922.861-73</t>
  </si>
  <si>
    <t>8310 1518</t>
  </si>
  <si>
    <t xml:space="preserve">SILVANA PIMENTEL DA CUNHA </t>
  </si>
  <si>
    <t>VALDEMAR BARBOSA DA SILVA - 70% AUTOMO.</t>
  </si>
  <si>
    <t>353.552.809-78</t>
  </si>
  <si>
    <t>8210 1404</t>
  </si>
  <si>
    <t>WALDENILSON JUNIOR VILALVA DA ROCHA</t>
  </si>
  <si>
    <t>834.617.871-91</t>
  </si>
  <si>
    <t>8220 2439</t>
  </si>
  <si>
    <t>15/10 2025</t>
  </si>
  <si>
    <t>16/10/025</t>
  </si>
  <si>
    <t>VICTOR AUGUSTO E SILVA</t>
  </si>
  <si>
    <t>ALLAN DA COSTA ARAUJO</t>
  </si>
  <si>
    <t>069.560.401-58</t>
  </si>
  <si>
    <t>8220 2908</t>
  </si>
  <si>
    <t>021.897.281-42</t>
  </si>
  <si>
    <t>8310 1627</t>
  </si>
  <si>
    <t>066.447.371-70</t>
  </si>
  <si>
    <t>8310 1659</t>
  </si>
  <si>
    <t>LENILDA DA SILVA</t>
  </si>
  <si>
    <t>NOVEMBRO</t>
  </si>
  <si>
    <t>MAURO SABINO MELO DE LIRA</t>
  </si>
  <si>
    <t xml:space="preserve"> 002.597.541-29</t>
  </si>
  <si>
    <t>8220 0447</t>
  </si>
  <si>
    <t>MAURO SABINO MELO DE LIRA 70%</t>
  </si>
  <si>
    <t>LUCAS ROBERTO RODRIGUES HAAK 70%</t>
  </si>
  <si>
    <t>073.840.901-48</t>
  </si>
  <si>
    <t>8310 2725</t>
  </si>
  <si>
    <t xml:space="preserve">LUCAS ROBERTO RODRIGUES HAAK </t>
  </si>
  <si>
    <t xml:space="preserve">ROBSON DA SILVA MIRANDA ROBSON DA SILVA MIRANDA </t>
  </si>
  <si>
    <t>LUIS EDUARDO FERREIRA CACERES 70%</t>
  </si>
  <si>
    <t>MARCOS ANTONIO DE SOUZA 70%</t>
  </si>
  <si>
    <t>ALINE CRISTINA SILVA</t>
  </si>
  <si>
    <t>ALINE CRISTINA SILVA 50%</t>
  </si>
  <si>
    <t>000.329.471-43</t>
  </si>
  <si>
    <t>8310 0183</t>
  </si>
  <si>
    <t xml:space="preserve"> 020.422.360-12</t>
  </si>
  <si>
    <t>8310 1700</t>
  </si>
  <si>
    <t>SILVIO FERNANDES</t>
  </si>
  <si>
    <t>SILVIO FERNANDES 70%</t>
  </si>
  <si>
    <t>052.977.281-77</t>
  </si>
  <si>
    <t>8400 0849</t>
  </si>
  <si>
    <t xml:space="preserve"> 047.180.219-01</t>
  </si>
  <si>
    <t>8220 1666</t>
  </si>
  <si>
    <t>ADILSON EVANGELISTA DA SILVA</t>
  </si>
  <si>
    <t>ADILSON EVANGELISTA DA SILVA 70%</t>
  </si>
  <si>
    <r>
      <t xml:space="preserve">ANDERSON PEREIRA ACHAR - </t>
    </r>
    <r>
      <rPr>
        <b/>
        <sz val="12"/>
        <color rgb="FFFF0000"/>
        <rFont val="Calibri Light"/>
        <family val="2"/>
        <scheme val="major"/>
      </rPr>
      <t xml:space="preserve">PAGOU NO DINHEIRO </t>
    </r>
  </si>
  <si>
    <t xml:space="preserve">CLARINDO DO ESPIRITO SANTO NASCIMENTO </t>
  </si>
  <si>
    <t>CARLA SOLIANE VALENTE FRANCA</t>
  </si>
  <si>
    <t>CARLA SOLIANE VALENTE FRANCA 70%</t>
  </si>
  <si>
    <t>GABRIEL DE OLIVEIRA BORGES</t>
  </si>
  <si>
    <t>LEONARDO HIDEKI ITO</t>
  </si>
  <si>
    <t>GABRIEL DE OLIVEIRA BORGES 70%</t>
  </si>
  <si>
    <t>LEONARDO HIDEKI ITO 70%</t>
  </si>
  <si>
    <t>090.888.896-19</t>
  </si>
  <si>
    <t>8220 1912</t>
  </si>
  <si>
    <t xml:space="preserve">	002.676.291-92</t>
  </si>
  <si>
    <t>8310 1137</t>
  </si>
  <si>
    <t>108.032.681-22</t>
  </si>
  <si>
    <t>8220 1279</t>
  </si>
  <si>
    <t>8220 1772</t>
  </si>
  <si>
    <t>702.558.921-79</t>
  </si>
  <si>
    <t>DANIEL PASSARELI ROCHA</t>
  </si>
  <si>
    <t>DANIEL PASSARELI ROCHA 50%</t>
  </si>
  <si>
    <t>VANILZA SOUZA NUNES COELHO 70%</t>
  </si>
  <si>
    <t>LEOCIR GARAY COELHO GRANCE 70%</t>
  </si>
  <si>
    <t>BRUNA RAFAELA DE SOUZA ARAGAO</t>
  </si>
  <si>
    <t>EDMILSON DOS SANTOS</t>
  </si>
  <si>
    <t>073.202.451-08</t>
  </si>
  <si>
    <t>8310 2028</t>
  </si>
  <si>
    <t>480.734.231-20</t>
  </si>
  <si>
    <t>8220 0201</t>
  </si>
  <si>
    <t>853.826.551-20</t>
  </si>
  <si>
    <t>8220 1695</t>
  </si>
  <si>
    <t>613.953.231-00</t>
  </si>
  <si>
    <t>8220 0810</t>
  </si>
  <si>
    <t>020.752.711-35</t>
  </si>
  <si>
    <t>8400 1517</t>
  </si>
  <si>
    <t>818.680.061-15</t>
  </si>
  <si>
    <t>8310 2433</t>
  </si>
  <si>
    <t>GILBERTO FERREIRA DA SILVA</t>
  </si>
  <si>
    <t>GILBERTO FERREIRA DA SILVA 70%</t>
  </si>
  <si>
    <t>PAULO FERREIRA MALTA NETO</t>
  </si>
  <si>
    <t>PAULO FERREIRA MALTA NETO 70%</t>
  </si>
  <si>
    <t>SERGIO CANDIDO DE ARAUJO 70%</t>
  </si>
  <si>
    <t>052.555.011-90</t>
  </si>
  <si>
    <t>8310 0259</t>
  </si>
  <si>
    <t>NATALIO RIBEIRO DA SILVA - LUCIANA</t>
  </si>
  <si>
    <t>JOEL DA SILVA ALVES 70%</t>
  </si>
  <si>
    <t>JOAO PEDRO FERREIRA 70%</t>
  </si>
  <si>
    <t>049.026.731-93</t>
  </si>
  <si>
    <t>8220 2023</t>
  </si>
  <si>
    <t>005.655.831-74</t>
  </si>
  <si>
    <t>8310 2017</t>
  </si>
  <si>
    <t xml:space="preserve"> 801.258.321-68</t>
  </si>
  <si>
    <t>8220 1531</t>
  </si>
  <si>
    <t>532.553.178-60</t>
  </si>
  <si>
    <t>8220 2375</t>
  </si>
  <si>
    <t>LIBERADO</t>
  </si>
  <si>
    <t>WESLEY OSNEI ROCHA DA SILVAHALANNE DE AS DA SILVA</t>
  </si>
  <si>
    <t>SEBASTIAO CORREA DE PAULA</t>
  </si>
  <si>
    <t>SEBASTIAO CORREA DE PAULA 70%</t>
  </si>
  <si>
    <t>EMILLY THAMIRES ALCANTARA DIAS</t>
  </si>
  <si>
    <t>EMILLY THAMIRES ALCANTARA DIAS 70%</t>
  </si>
  <si>
    <t>690.532.351-91</t>
  </si>
  <si>
    <t>8310 1204</t>
  </si>
  <si>
    <t>028.067.601-86</t>
  </si>
  <si>
    <t>8220 2363</t>
  </si>
  <si>
    <t>RAQUEL REGINA HORING</t>
  </si>
  <si>
    <t>IZABELA MARTIM MACIEL</t>
  </si>
  <si>
    <t>RAQUEL REGINA HORING 70%</t>
  </si>
  <si>
    <t>IZABELA MARTIM MACIEL 705</t>
  </si>
  <si>
    <t>OFERTADO 08.11</t>
  </si>
  <si>
    <t>MARCOS ALEM LARA GOMES</t>
  </si>
  <si>
    <t>MARCOS ALEM LARA GOMES 70%</t>
  </si>
  <si>
    <t>580.043.001-20</t>
  </si>
  <si>
    <t>8220 2035</t>
  </si>
  <si>
    <t>706.750.191-17</t>
  </si>
  <si>
    <t xml:space="preserve"> 080.648.781-01</t>
  </si>
  <si>
    <t>OFERTADO 10.11</t>
  </si>
  <si>
    <t>VINICIUS KENZA HIGA DOS SANTOS</t>
  </si>
  <si>
    <t>VINICIUS KENZA HIGA DOS SANTOS 70%</t>
  </si>
  <si>
    <t>OFERTADO 11.11</t>
  </si>
  <si>
    <t>057.959.651-62</t>
  </si>
  <si>
    <t>8310 1747</t>
  </si>
  <si>
    <t>8220 2897</t>
  </si>
  <si>
    <t>8220 2481</t>
  </si>
  <si>
    <t>OFERTADO 12.11</t>
  </si>
  <si>
    <t>MARA LUCIA ZANDONA 70%</t>
  </si>
  <si>
    <t>JONATAN DE SOUZA LIMA 70%</t>
  </si>
  <si>
    <t xml:space="preserve">JONATAN DE SOUZA LIMA </t>
  </si>
  <si>
    <t xml:space="preserve">MARA LUCIA ZANDONA </t>
  </si>
  <si>
    <t>025.532.021-30</t>
  </si>
  <si>
    <t>8220 0614</t>
  </si>
  <si>
    <t>922.332.011-91</t>
  </si>
  <si>
    <t>8300 0029</t>
  </si>
  <si>
    <t>JHONY FRANCIS DA SILVA</t>
  </si>
  <si>
    <t>MARCELO CANDIDO DE ARAUJO</t>
  </si>
  <si>
    <t>JHONY FRANCIS DA SILVA 70%</t>
  </si>
  <si>
    <t>MARCELO CANDIDO DE ARAUJO 70%</t>
  </si>
  <si>
    <t>OFERTADO 13.11</t>
  </si>
  <si>
    <t>059.758.979-80</t>
  </si>
  <si>
    <t>8400 0433</t>
  </si>
  <si>
    <t>016.639.161-10</t>
  </si>
  <si>
    <t>8220 1739</t>
  </si>
  <si>
    <t>OFERTADO 14.11</t>
  </si>
  <si>
    <t>KELLY CRISTINA GIMENES 70%</t>
  </si>
  <si>
    <t>EDUARDO JOSE MENDONCA JUNIOR 70%</t>
  </si>
  <si>
    <t>021.075.831-70</t>
  </si>
  <si>
    <t>8310 1092</t>
  </si>
  <si>
    <t>OFERTADO 15.11</t>
  </si>
  <si>
    <t>933.259.401-53</t>
  </si>
  <si>
    <t>8310 1598</t>
  </si>
  <si>
    <t>505.167.988-98</t>
  </si>
  <si>
    <t>8220 0251</t>
  </si>
  <si>
    <t>ADAO JUNIOR PEREIRA DE BRITO 70%</t>
  </si>
  <si>
    <t>INADIMPLENTES DENER</t>
  </si>
  <si>
    <t>GEICE MORAIS FRANCO - 70% (JULIANA)</t>
  </si>
  <si>
    <t>HERNANDES GAIOSO DE LIMA</t>
  </si>
  <si>
    <t>HERNANDES GAIOSO DE LIMA 70%</t>
  </si>
  <si>
    <t>NOVEMBRO  DE 2025</t>
  </si>
  <si>
    <t>PAGO 18.11</t>
  </si>
  <si>
    <t>PLINIO ANGELO FERRAZ BICEGLIA 70%</t>
  </si>
  <si>
    <t>075.448.591-93</t>
  </si>
  <si>
    <t>8220 1376</t>
  </si>
  <si>
    <t>PLINIO ANGELO FERRAZ BICEGLIA</t>
  </si>
  <si>
    <t>PAGO 21.11</t>
  </si>
  <si>
    <t>JUCLEIDE SILVA ANDRE DELGADO 70%</t>
  </si>
  <si>
    <t>JOSE CARLOS DE CENA 70%</t>
  </si>
  <si>
    <t>226.515.838-04</t>
  </si>
  <si>
    <t>8320 0658</t>
  </si>
  <si>
    <t>017.711.201-85</t>
  </si>
  <si>
    <t>8220 1107</t>
  </si>
  <si>
    <t>838.117.029-04</t>
  </si>
  <si>
    <t>8220 0848</t>
  </si>
  <si>
    <t>BOL SAL 21.11</t>
  </si>
  <si>
    <t>CANCELAMENTO</t>
  </si>
  <si>
    <t>INADIMPLENTES</t>
  </si>
  <si>
    <t>PAGO 17.11</t>
  </si>
  <si>
    <t>CANCELADO</t>
  </si>
  <si>
    <t>a</t>
  </si>
  <si>
    <t>PLANILHA ATUALIZADA: 25/11/2025</t>
  </si>
  <si>
    <t>JULIAN ARAUJO SILVA</t>
  </si>
  <si>
    <t>PAGO 25.11</t>
  </si>
  <si>
    <t>JULIAN ARAUJO SILVA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</si>
</sst>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3"/>
      <color theme="0"/>
      <name val="Calibri Light"/>
      <family val="2"/>
      <scheme val="major"/>
    </font>
    <font>
      <sz val="12"/>
      <color theme="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1B1E2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 "/>
    </font>
    <font>
      <b/>
      <sz val="12"/>
      <name val="Calibri "/>
    </font>
    <font>
      <sz val="12"/>
      <color rgb="FF222222"/>
      <name val="Calibri Light"/>
      <family val="2"/>
      <scheme val="major"/>
    </font>
    <font>
      <b/>
      <sz val="12"/>
      <color rgb="FFEE0000"/>
      <name val="Calibri Light"/>
      <family val="2"/>
      <scheme val="major"/>
    </font>
    <font>
      <b/>
      <sz val="12"/>
      <color rgb="FFFFFFFF"/>
      <name val="Calibri Light"/>
      <family val="2"/>
      <scheme val="major"/>
    </font>
    <font>
      <b/>
      <sz val="12"/>
      <color rgb="FFEE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3"/>
      <color theme="0"/>
      <name val="Calibri Light"/>
      <family val="2"/>
      <scheme val="maj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1B1E24"/>
      <name val="Calibri Light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5EF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5F32D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3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6" fillId="8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left"/>
    </xf>
    <xf numFmtId="44" fontId="8" fillId="12" borderId="1" xfId="1" applyFont="1" applyFill="1" applyBorder="1" applyAlignment="1">
      <alignment horizontal="center"/>
    </xf>
    <xf numFmtId="44" fontId="8" fillId="12" borderId="1" xfId="1" applyFont="1" applyFill="1" applyBorder="1" applyAlignment="1">
      <alignment wrapText="1"/>
    </xf>
    <xf numFmtId="17" fontId="8" fillId="12" borderId="2" xfId="0" applyNumberFormat="1" applyFont="1" applyFill="1" applyBorder="1" applyAlignment="1">
      <alignment horizontal="center"/>
    </xf>
    <xf numFmtId="17" fontId="8" fillId="12" borderId="1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12" borderId="0" xfId="0" applyFont="1" applyFill="1"/>
    <xf numFmtId="0" fontId="10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44" fontId="11" fillId="2" borderId="1" xfId="1" applyFont="1" applyFill="1" applyBorder="1" applyAlignment="1"/>
    <xf numFmtId="0" fontId="11" fillId="3" borderId="2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7" fillId="2" borderId="0" xfId="0" applyFont="1" applyFill="1"/>
    <xf numFmtId="44" fontId="2" fillId="2" borderId="1" xfId="0" applyNumberFormat="1" applyFont="1" applyFill="1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13" fillId="0" borderId="0" xfId="0" applyFont="1"/>
    <xf numFmtId="0" fontId="14" fillId="13" borderId="0" xfId="0" applyFont="1" applyFill="1"/>
    <xf numFmtId="0" fontId="15" fillId="13" borderId="0" xfId="0" applyFont="1" applyFill="1"/>
    <xf numFmtId="0" fontId="15" fillId="13" borderId="0" xfId="0" applyFont="1" applyFill="1" applyAlignment="1">
      <alignment horizontal="center"/>
    </xf>
    <xf numFmtId="44" fontId="15" fillId="13" borderId="0" xfId="2" applyFont="1" applyFill="1"/>
    <xf numFmtId="0" fontId="15" fillId="0" borderId="0" xfId="0" applyFont="1"/>
    <xf numFmtId="0" fontId="16" fillId="13" borderId="0" xfId="0" applyFont="1" applyFill="1"/>
    <xf numFmtId="0" fontId="14" fillId="13" borderId="0" xfId="0" applyFont="1" applyFill="1" applyAlignment="1">
      <alignment horizontal="center"/>
    </xf>
    <xf numFmtId="44" fontId="14" fillId="13" borderId="0" xfId="2" applyFont="1" applyFill="1"/>
    <xf numFmtId="0" fontId="14" fillId="13" borderId="10" xfId="0" applyFont="1" applyFill="1" applyBorder="1"/>
    <xf numFmtId="14" fontId="14" fillId="0" borderId="1" xfId="0" applyNumberFormat="1" applyFont="1" applyBorder="1" applyAlignment="1">
      <alignment horizontal="center"/>
    </xf>
    <xf numFmtId="44" fontId="2" fillId="2" borderId="1" xfId="1" applyFont="1" applyFill="1" applyBorder="1" applyAlignment="1">
      <alignment horizontal="left"/>
    </xf>
    <xf numFmtId="44" fontId="14" fillId="2" borderId="1" xfId="0" applyNumberFormat="1" applyFont="1" applyFill="1" applyBorder="1" applyAlignment="1">
      <alignment horizontal="right"/>
    </xf>
    <xf numFmtId="0" fontId="15" fillId="0" borderId="1" xfId="0" applyFont="1" applyBorder="1"/>
    <xf numFmtId="44" fontId="14" fillId="2" borderId="1" xfId="2" applyFont="1" applyFill="1" applyBorder="1" applyAlignment="1">
      <alignment horizontal="center"/>
    </xf>
    <xf numFmtId="44" fontId="14" fillId="2" borderId="1" xfId="2" applyFont="1" applyFill="1" applyBorder="1" applyAlignment="1">
      <alignment horizontal="right"/>
    </xf>
    <xf numFmtId="44" fontId="2" fillId="2" borderId="11" xfId="1" applyFont="1" applyFill="1" applyBorder="1" applyAlignment="1"/>
    <xf numFmtId="0" fontId="11" fillId="2" borderId="1" xfId="0" applyFont="1" applyFill="1" applyBorder="1" applyAlignment="1">
      <alignment horizontal="left"/>
    </xf>
    <xf numFmtId="14" fontId="16" fillId="2" borderId="1" xfId="0" applyNumberFormat="1" applyFont="1" applyFill="1" applyBorder="1" applyAlignment="1">
      <alignment horizontal="center"/>
    </xf>
    <xf numFmtId="44" fontId="15" fillId="2" borderId="1" xfId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5" fillId="2" borderId="1" xfId="0" applyFont="1" applyFill="1" applyBorder="1"/>
    <xf numFmtId="14" fontId="15" fillId="2" borderId="11" xfId="1" applyNumberFormat="1" applyFont="1" applyFill="1" applyBorder="1" applyAlignment="1">
      <alignment horizontal="center"/>
    </xf>
    <xf numFmtId="44" fontId="15" fillId="2" borderId="11" xfId="1" applyFont="1" applyFill="1" applyBorder="1" applyAlignment="1"/>
    <xf numFmtId="44" fontId="15" fillId="2" borderId="1" xfId="0" applyNumberFormat="1" applyFont="1" applyFill="1" applyBorder="1" applyAlignment="1">
      <alignment horizontal="right"/>
    </xf>
    <xf numFmtId="0" fontId="17" fillId="2" borderId="1" xfId="0" applyFont="1" applyFill="1" applyBorder="1" applyAlignment="1">
      <alignment horizontal="left"/>
    </xf>
    <xf numFmtId="14" fontId="17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wrapText="1"/>
    </xf>
    <xf numFmtId="14" fontId="15" fillId="0" borderId="1" xfId="0" applyNumberFormat="1" applyFont="1" applyBorder="1" applyAlignment="1">
      <alignment horizontal="center"/>
    </xf>
    <xf numFmtId="14" fontId="14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4" fillId="13" borderId="1" xfId="0" applyFont="1" applyFill="1" applyBorder="1"/>
    <xf numFmtId="0" fontId="14" fillId="2" borderId="1" xfId="0" applyFont="1" applyFill="1" applyBorder="1"/>
    <xf numFmtId="44" fontId="14" fillId="0" borderId="1" xfId="0" applyNumberFormat="1" applyFont="1" applyBorder="1"/>
    <xf numFmtId="14" fontId="15" fillId="13" borderId="1" xfId="0" applyNumberFormat="1" applyFont="1" applyFill="1" applyBorder="1" applyAlignment="1">
      <alignment horizontal="center"/>
    </xf>
    <xf numFmtId="0" fontId="15" fillId="13" borderId="1" xfId="0" applyFont="1" applyFill="1" applyBorder="1" applyAlignment="1">
      <alignment horizontal="left"/>
    </xf>
    <xf numFmtId="44" fontId="15" fillId="13" borderId="1" xfId="0" applyNumberFormat="1" applyFont="1" applyFill="1" applyBorder="1" applyAlignment="1">
      <alignment horizontal="right"/>
    </xf>
    <xf numFmtId="14" fontId="14" fillId="2" borderId="1" xfId="0" applyNumberFormat="1" applyFont="1" applyFill="1" applyBorder="1" applyAlignment="1">
      <alignment horizontal="center"/>
    </xf>
    <xf numFmtId="44" fontId="15" fillId="2" borderId="1" xfId="2" applyFont="1" applyFill="1" applyBorder="1" applyAlignment="1">
      <alignment horizontal="right"/>
    </xf>
    <xf numFmtId="0" fontId="15" fillId="2" borderId="1" xfId="0" applyFont="1" applyFill="1" applyBorder="1" applyAlignment="1">
      <alignment horizontal="left"/>
    </xf>
    <xf numFmtId="0" fontId="17" fillId="2" borderId="1" xfId="0" applyFont="1" applyFill="1" applyBorder="1"/>
    <xf numFmtId="44" fontId="14" fillId="2" borderId="1" xfId="2" applyFont="1" applyFill="1" applyBorder="1"/>
    <xf numFmtId="4" fontId="0" fillId="0" borderId="0" xfId="0" applyNumberFormat="1"/>
    <xf numFmtId="14" fontId="15" fillId="2" borderId="1" xfId="0" applyNumberFormat="1" applyFont="1" applyFill="1" applyBorder="1" applyAlignment="1">
      <alignment horizontal="center"/>
    </xf>
    <xf numFmtId="44" fontId="15" fillId="2" borderId="1" xfId="2" applyFont="1" applyFill="1" applyBorder="1"/>
    <xf numFmtId="4" fontId="15" fillId="0" borderId="0" xfId="0" applyNumberFormat="1" applyFont="1"/>
    <xf numFmtId="14" fontId="15" fillId="13" borderId="12" xfId="0" applyNumberFormat="1" applyFont="1" applyFill="1" applyBorder="1" applyAlignment="1">
      <alignment horizontal="center"/>
    </xf>
    <xf numFmtId="14" fontId="15" fillId="13" borderId="0" xfId="0" applyNumberFormat="1" applyFont="1" applyFill="1" applyAlignment="1">
      <alignment horizontal="center"/>
    </xf>
    <xf numFmtId="0" fontId="15" fillId="13" borderId="0" xfId="0" applyFont="1" applyFill="1" applyAlignment="1">
      <alignment horizontal="left"/>
    </xf>
    <xf numFmtId="44" fontId="15" fillId="13" borderId="0" xfId="0" applyNumberFormat="1" applyFont="1" applyFill="1" applyAlignment="1">
      <alignment horizontal="right"/>
    </xf>
    <xf numFmtId="0" fontId="18" fillId="2" borderId="0" xfId="0" applyFont="1" applyFill="1"/>
    <xf numFmtId="44" fontId="15" fillId="0" borderId="1" xfId="2" applyFont="1" applyBorder="1"/>
    <xf numFmtId="44" fontId="15" fillId="2" borderId="1" xfId="2" applyFont="1" applyFill="1" applyBorder="1" applyAlignment="1">
      <alignment horizontal="left"/>
    </xf>
    <xf numFmtId="44" fontId="15" fillId="2" borderId="1" xfId="2" applyFont="1" applyFill="1" applyBorder="1" applyAlignment="1">
      <alignment horizontal="center"/>
    </xf>
    <xf numFmtId="44" fontId="19" fillId="2" borderId="1" xfId="2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/>
    <xf numFmtId="44" fontId="22" fillId="0" borderId="1" xfId="0" applyNumberFormat="1" applyFont="1" applyBorder="1" applyAlignment="1">
      <alignment horizontal="center"/>
    </xf>
    <xf numFmtId="44" fontId="22" fillId="0" borderId="1" xfId="0" applyNumberFormat="1" applyFont="1" applyBorder="1"/>
    <xf numFmtId="0" fontId="23" fillId="0" borderId="1" xfId="0" applyFont="1" applyBorder="1"/>
    <xf numFmtId="44" fontId="23" fillId="0" borderId="1" xfId="0" applyNumberFormat="1" applyFont="1" applyBorder="1"/>
    <xf numFmtId="0" fontId="25" fillId="15" borderId="1" xfId="0" applyFont="1" applyFill="1" applyBorder="1" applyAlignment="1">
      <alignment horizontal="center"/>
    </xf>
    <xf numFmtId="164" fontId="25" fillId="15" borderId="1" xfId="2" applyNumberFormat="1" applyFont="1" applyFill="1" applyBorder="1" applyAlignment="1">
      <alignment horizontal="center"/>
    </xf>
    <xf numFmtId="44" fontId="25" fillId="15" borderId="1" xfId="2" applyFont="1" applyFill="1" applyBorder="1" applyAlignment="1">
      <alignment horizontal="center"/>
    </xf>
    <xf numFmtId="0" fontId="14" fillId="16" borderId="1" xfId="0" applyFont="1" applyFill="1" applyBorder="1" applyAlignment="1">
      <alignment horizontal="center"/>
    </xf>
    <xf numFmtId="44" fontId="11" fillId="2" borderId="1" xfId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44" fontId="26" fillId="2" borderId="1" xfId="0" applyNumberFormat="1" applyFont="1" applyFill="1" applyBorder="1"/>
    <xf numFmtId="14" fontId="26" fillId="0" borderId="1" xfId="0" applyNumberFormat="1" applyFont="1" applyBorder="1" applyAlignment="1">
      <alignment horizontal="center"/>
    </xf>
    <xf numFmtId="44" fontId="26" fillId="2" borderId="1" xfId="0" applyNumberFormat="1" applyFont="1" applyFill="1" applyBorder="1" applyAlignment="1">
      <alignment horizontal="right"/>
    </xf>
    <xf numFmtId="44" fontId="26" fillId="2" borderId="1" xfId="2" applyFont="1" applyFill="1" applyBorder="1" applyAlignment="1">
      <alignment horizontal="center"/>
    </xf>
    <xf numFmtId="44" fontId="26" fillId="2" borderId="1" xfId="2" applyFont="1" applyFill="1" applyBorder="1" applyAlignment="1">
      <alignment horizontal="right"/>
    </xf>
    <xf numFmtId="14" fontId="27" fillId="2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1" xfId="0" applyBorder="1"/>
    <xf numFmtId="0" fontId="2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14" fillId="2" borderId="1" xfId="2" applyFont="1" applyFill="1" applyBorder="1" applyAlignment="1"/>
    <xf numFmtId="0" fontId="29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7" fontId="6" fillId="2" borderId="13" xfId="0" applyNumberFormat="1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44" fontId="29" fillId="4" borderId="1" xfId="0" applyNumberFormat="1" applyFont="1" applyFill="1" applyBorder="1"/>
    <xf numFmtId="0" fontId="32" fillId="4" borderId="1" xfId="0" applyFont="1" applyFill="1" applyBorder="1"/>
    <xf numFmtId="0" fontId="2" fillId="3" borderId="13" xfId="0" applyFont="1" applyFill="1" applyBorder="1" applyAlignment="1">
      <alignment horizontal="left"/>
    </xf>
    <xf numFmtId="44" fontId="14" fillId="2" borderId="1" xfId="2" applyFont="1" applyFill="1" applyBorder="1" applyAlignment="1">
      <alignment horizontal="left"/>
    </xf>
    <xf numFmtId="0" fontId="3" fillId="8" borderId="1" xfId="0" applyFont="1" applyFill="1" applyBorder="1" applyAlignment="1">
      <alignment horizontal="center" vertical="top"/>
    </xf>
    <xf numFmtId="44" fontId="2" fillId="0" borderId="1" xfId="1" applyFont="1" applyBorder="1"/>
    <xf numFmtId="0" fontId="2" fillId="3" borderId="12" xfId="0" applyFont="1" applyFill="1" applyBorder="1" applyAlignment="1">
      <alignment horizontal="center"/>
    </xf>
    <xf numFmtId="0" fontId="14" fillId="16" borderId="12" xfId="0" applyFont="1" applyFill="1" applyBorder="1" applyAlignment="1">
      <alignment horizontal="center"/>
    </xf>
    <xf numFmtId="44" fontId="2" fillId="2" borderId="12" xfId="0" applyNumberFormat="1" applyFont="1" applyFill="1" applyBorder="1"/>
    <xf numFmtId="44" fontId="11" fillId="2" borderId="12" xfId="1" applyFont="1" applyFill="1" applyBorder="1" applyAlignment="1"/>
    <xf numFmtId="44" fontId="11" fillId="2" borderId="12" xfId="1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44" fontId="2" fillId="0" borderId="1" xfId="0" applyNumberFormat="1" applyFont="1" applyBorder="1"/>
    <xf numFmtId="44" fontId="2" fillId="0" borderId="1" xfId="1" applyFont="1" applyFill="1" applyBorder="1"/>
    <xf numFmtId="0" fontId="3" fillId="2" borderId="1" xfId="0" applyFont="1" applyFill="1" applyBorder="1" applyAlignment="1">
      <alignment horizontal="center"/>
    </xf>
    <xf numFmtId="0" fontId="11" fillId="3" borderId="1" xfId="0" applyFont="1" applyFill="1" applyBorder="1"/>
    <xf numFmtId="0" fontId="6" fillId="3" borderId="2" xfId="0" applyFont="1" applyFill="1" applyBorder="1" applyAlignment="1">
      <alignment horizontal="center"/>
    </xf>
    <xf numFmtId="44" fontId="14" fillId="2" borderId="3" xfId="2" applyFont="1" applyFill="1" applyBorder="1" applyAlignment="1">
      <alignment horizontal="left"/>
    </xf>
    <xf numFmtId="14" fontId="14" fillId="0" borderId="12" xfId="0" applyNumberFormat="1" applyFont="1" applyBorder="1" applyAlignment="1">
      <alignment horizontal="center"/>
    </xf>
    <xf numFmtId="0" fontId="15" fillId="0" borderId="12" xfId="0" applyFont="1" applyBorder="1" applyAlignment="1">
      <alignment horizontal="left"/>
    </xf>
    <xf numFmtId="0" fontId="14" fillId="2" borderId="13" xfId="0" applyFont="1" applyFill="1" applyBorder="1"/>
    <xf numFmtId="0" fontId="2" fillId="3" borderId="1" xfId="0" applyFont="1" applyFill="1" applyBorder="1" applyAlignment="1">
      <alignment horizontal="left" wrapText="1"/>
    </xf>
    <xf numFmtId="44" fontId="2" fillId="2" borderId="14" xfId="0" applyNumberFormat="1" applyFont="1" applyFill="1" applyBorder="1"/>
    <xf numFmtId="44" fontId="0" fillId="0" borderId="0" xfId="1" applyFont="1"/>
    <xf numFmtId="0" fontId="2" fillId="3" borderId="12" xfId="0" applyFont="1" applyFill="1" applyBorder="1" applyAlignment="1">
      <alignment horizontal="left" wrapText="1"/>
    </xf>
    <xf numFmtId="44" fontId="11" fillId="2" borderId="15" xfId="1" applyFont="1" applyFill="1" applyBorder="1" applyAlignment="1"/>
    <xf numFmtId="0" fontId="15" fillId="0" borderId="13" xfId="0" applyFont="1" applyBorder="1" applyAlignment="1">
      <alignment horizontal="left"/>
    </xf>
    <xf numFmtId="44" fontId="2" fillId="0" borderId="12" xfId="1" applyFont="1" applyBorder="1"/>
    <xf numFmtId="14" fontId="11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11" fillId="3" borderId="2" xfId="0" applyNumberFormat="1" applyFont="1" applyFill="1" applyBorder="1" applyAlignment="1">
      <alignment horizontal="center"/>
    </xf>
    <xf numFmtId="0" fontId="11" fillId="0" borderId="1" xfId="3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2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3" borderId="12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44" fontId="3" fillId="2" borderId="3" xfId="2" applyFont="1" applyFill="1" applyBorder="1" applyAlignment="1">
      <alignment horizontal="left"/>
    </xf>
    <xf numFmtId="44" fontId="3" fillId="2" borderId="1" xfId="2" applyFont="1" applyFill="1" applyBorder="1" applyAlignment="1">
      <alignment horizontal="left"/>
    </xf>
    <xf numFmtId="44" fontId="3" fillId="2" borderId="1" xfId="2" applyFont="1" applyFill="1" applyBorder="1" applyAlignment="1">
      <alignment horizontal="right"/>
    </xf>
    <xf numFmtId="44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44" fontId="3" fillId="0" borderId="1" xfId="0" applyNumberFormat="1" applyFont="1" applyBorder="1"/>
    <xf numFmtId="0" fontId="15" fillId="2" borderId="1" xfId="0" applyFont="1" applyFill="1" applyBorder="1" applyAlignment="1">
      <alignment horizontal="center"/>
    </xf>
    <xf numFmtId="0" fontId="15" fillId="2" borderId="16" xfId="0" applyFont="1" applyFill="1" applyBorder="1"/>
    <xf numFmtId="0" fontId="16" fillId="2" borderId="1" xfId="0" applyFont="1" applyFill="1" applyBorder="1" applyAlignment="1">
      <alignment horizontal="center"/>
    </xf>
    <xf numFmtId="17" fontId="16" fillId="2" borderId="1" xfId="0" applyNumberFormat="1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0" fillId="13" borderId="0" xfId="0" applyFill="1"/>
    <xf numFmtId="0" fontId="11" fillId="2" borderId="1" xfId="0" applyFont="1" applyFill="1" applyBorder="1"/>
    <xf numFmtId="44" fontId="11" fillId="2" borderId="14" xfId="1" applyFont="1" applyFill="1" applyBorder="1" applyAlignment="1"/>
    <xf numFmtId="0" fontId="2" fillId="2" borderId="1" xfId="0" applyFont="1" applyFill="1" applyBorder="1" applyAlignment="1">
      <alignment wrapText="1"/>
    </xf>
    <xf numFmtId="44" fontId="14" fillId="2" borderId="1" xfId="0" applyNumberFormat="1" applyFont="1" applyFill="1" applyBorder="1"/>
    <xf numFmtId="0" fontId="4" fillId="17" borderId="1" xfId="0" applyFont="1" applyFill="1" applyBorder="1" applyAlignment="1">
      <alignment horizontal="left"/>
    </xf>
    <xf numFmtId="0" fontId="4" fillId="17" borderId="1" xfId="0" applyFont="1" applyFill="1" applyBorder="1" applyAlignment="1">
      <alignment horizontal="left" wrapText="1"/>
    </xf>
    <xf numFmtId="0" fontId="3" fillId="17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44" fontId="4" fillId="4" borderId="1" xfId="0" applyNumberFormat="1" applyFont="1" applyFill="1" applyBorder="1"/>
    <xf numFmtId="0" fontId="3" fillId="2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1" xfId="3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14" fontId="6" fillId="3" borderId="2" xfId="0" applyNumberFormat="1" applyFont="1" applyFill="1" applyBorder="1" applyAlignment="1">
      <alignment horizontal="center"/>
    </xf>
    <xf numFmtId="14" fontId="6" fillId="3" borderId="12" xfId="0" applyNumberFormat="1" applyFont="1" applyFill="1" applyBorder="1" applyAlignment="1">
      <alignment horizontal="center"/>
    </xf>
    <xf numFmtId="14" fontId="3" fillId="3" borderId="12" xfId="0" applyNumberFormat="1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0" fontId="28" fillId="2" borderId="1" xfId="0" applyFont="1" applyFill="1" applyBorder="1" applyAlignment="1">
      <alignment vertical="center" wrapText="1"/>
    </xf>
    <xf numFmtId="0" fontId="7" fillId="2" borderId="1" xfId="0" applyFont="1" applyFill="1" applyBorder="1"/>
    <xf numFmtId="0" fontId="0" fillId="2" borderId="1" xfId="0" applyFill="1" applyBorder="1"/>
    <xf numFmtId="0" fontId="1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left"/>
    </xf>
    <xf numFmtId="44" fontId="3" fillId="0" borderId="1" xfId="1" applyFont="1" applyBorder="1"/>
    <xf numFmtId="44" fontId="3" fillId="2" borderId="1" xfId="0" applyNumberFormat="1" applyFont="1" applyFill="1" applyBorder="1"/>
    <xf numFmtId="44" fontId="2" fillId="0" borderId="3" xfId="1" applyFont="1" applyBorder="1"/>
    <xf numFmtId="44" fontId="2" fillId="2" borderId="3" xfId="0" applyNumberFormat="1" applyFont="1" applyFill="1" applyBorder="1"/>
    <xf numFmtId="44" fontId="11" fillId="2" borderId="2" xfId="1" applyFont="1" applyFill="1" applyBorder="1" applyAlignment="1"/>
    <xf numFmtId="44" fontId="2" fillId="2" borderId="2" xfId="0" applyNumberFormat="1" applyFont="1" applyFill="1" applyBorder="1"/>
    <xf numFmtId="44" fontId="2" fillId="0" borderId="2" xfId="1" applyFont="1" applyBorder="1"/>
    <xf numFmtId="44" fontId="11" fillId="2" borderId="16" xfId="1" applyFont="1" applyFill="1" applyBorder="1" applyAlignment="1"/>
    <xf numFmtId="44" fontId="2" fillId="0" borderId="16" xfId="1" applyFont="1" applyBorder="1"/>
    <xf numFmtId="0" fontId="11" fillId="4" borderId="2" xfId="0" applyFont="1" applyFill="1" applyBorder="1" applyAlignment="1">
      <alignment horizontal="center"/>
    </xf>
    <xf numFmtId="44" fontId="15" fillId="0" borderId="1" xfId="1" applyFont="1" applyBorder="1"/>
    <xf numFmtId="0" fontId="13" fillId="0" borderId="1" xfId="0" applyFont="1" applyBorder="1"/>
    <xf numFmtId="44" fontId="2" fillId="2" borderId="1" xfId="1" applyFont="1" applyFill="1" applyBorder="1"/>
    <xf numFmtId="0" fontId="11" fillId="3" borderId="1" xfId="0" applyFont="1" applyFill="1" applyBorder="1" applyAlignment="1">
      <alignment wrapText="1"/>
    </xf>
    <xf numFmtId="0" fontId="2" fillId="0" borderId="12" xfId="0" applyFont="1" applyBorder="1" applyAlignment="1">
      <alignment horizontal="center"/>
    </xf>
    <xf numFmtId="0" fontId="11" fillId="3" borderId="12" xfId="0" applyFont="1" applyFill="1" applyBorder="1"/>
    <xf numFmtId="44" fontId="2" fillId="2" borderId="12" xfId="1" applyFont="1" applyFill="1" applyBorder="1"/>
    <xf numFmtId="0" fontId="4" fillId="17" borderId="1" xfId="0" applyFont="1" applyFill="1" applyBorder="1" applyAlignment="1">
      <alignment vertical="center" wrapText="1"/>
    </xf>
    <xf numFmtId="14" fontId="4" fillId="17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wrapText="1"/>
    </xf>
    <xf numFmtId="0" fontId="0" fillId="2" borderId="0" xfId="0" applyFill="1"/>
    <xf numFmtId="0" fontId="6" fillId="3" borderId="1" xfId="0" applyFont="1" applyFill="1" applyBorder="1" applyAlignment="1">
      <alignment horizontal="center"/>
    </xf>
    <xf numFmtId="0" fontId="2" fillId="3" borderId="12" xfId="0" applyFont="1" applyFill="1" applyBorder="1"/>
    <xf numFmtId="0" fontId="3" fillId="8" borderId="12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left" wrapText="1"/>
    </xf>
    <xf numFmtId="44" fontId="2" fillId="2" borderId="17" xfId="0" applyNumberFormat="1" applyFont="1" applyFill="1" applyBorder="1"/>
    <xf numFmtId="0" fontId="2" fillId="2" borderId="12" xfId="0" applyFont="1" applyFill="1" applyBorder="1" applyAlignment="1">
      <alignment horizontal="center"/>
    </xf>
    <xf numFmtId="44" fontId="11" fillId="2" borderId="1" xfId="1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0" fontId="11" fillId="2" borderId="14" xfId="0" applyFont="1" applyFill="1" applyBorder="1"/>
    <xf numFmtId="14" fontId="15" fillId="0" borderId="12" xfId="0" applyNumberFormat="1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right"/>
    </xf>
    <xf numFmtId="165" fontId="3" fillId="2" borderId="1" xfId="2" applyNumberFormat="1" applyFont="1" applyFill="1" applyBorder="1" applyAlignment="1">
      <alignment horizontal="right"/>
    </xf>
    <xf numFmtId="165" fontId="6" fillId="2" borderId="1" xfId="2" applyNumberFormat="1" applyFont="1" applyFill="1" applyBorder="1"/>
    <xf numFmtId="165" fontId="3" fillId="2" borderId="1" xfId="1" applyNumberFormat="1" applyFont="1" applyFill="1" applyBorder="1"/>
    <xf numFmtId="165" fontId="3" fillId="0" borderId="1" xfId="1" applyNumberFormat="1" applyFont="1" applyBorder="1"/>
    <xf numFmtId="165" fontId="3" fillId="2" borderId="14" xfId="1" applyNumberFormat="1" applyFont="1" applyFill="1" applyBorder="1"/>
    <xf numFmtId="165" fontId="3" fillId="2" borderId="3" xfId="0" applyNumberFormat="1" applyFont="1" applyFill="1" applyBorder="1"/>
    <xf numFmtId="165" fontId="3" fillId="2" borderId="14" xfId="0" applyNumberFormat="1" applyFont="1" applyFill="1" applyBorder="1"/>
    <xf numFmtId="165" fontId="3" fillId="2" borderId="1" xfId="0" applyNumberFormat="1" applyFont="1" applyFill="1" applyBorder="1"/>
    <xf numFmtId="165" fontId="35" fillId="0" borderId="1" xfId="0" applyNumberFormat="1" applyFont="1" applyBorder="1"/>
    <xf numFmtId="0" fontId="3" fillId="8" borderId="2" xfId="0" applyFont="1" applyFill="1" applyBorder="1" applyAlignment="1">
      <alignment horizontal="center" vertical="top"/>
    </xf>
    <xf numFmtId="0" fontId="0" fillId="0" borderId="3" xfId="0" applyBorder="1"/>
    <xf numFmtId="44" fontId="7" fillId="0" borderId="1" xfId="1" applyFont="1" applyBorder="1"/>
    <xf numFmtId="0" fontId="36" fillId="3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 wrapText="1"/>
    </xf>
    <xf numFmtId="44" fontId="0" fillId="0" borderId="1" xfId="1" applyFont="1" applyBorder="1"/>
    <xf numFmtId="0" fontId="14" fillId="0" borderId="1" xfId="0" applyFont="1" applyBorder="1"/>
    <xf numFmtId="0" fontId="3" fillId="13" borderId="1" xfId="0" applyFont="1" applyFill="1" applyBorder="1"/>
    <xf numFmtId="0" fontId="3" fillId="13" borderId="0" xfId="0" applyFont="1" applyFill="1"/>
    <xf numFmtId="44" fontId="14" fillId="0" borderId="1" xfId="2" applyFont="1" applyBorder="1"/>
    <xf numFmtId="0" fontId="11" fillId="0" borderId="0" xfId="3" applyFont="1" applyAlignment="1">
      <alignment horizontal="center"/>
    </xf>
    <xf numFmtId="44" fontId="2" fillId="2" borderId="13" xfId="0" applyNumberFormat="1" applyFont="1" applyFill="1" applyBorder="1"/>
    <xf numFmtId="44" fontId="11" fillId="2" borderId="13" xfId="1" applyFont="1" applyFill="1" applyBorder="1" applyAlignment="1"/>
    <xf numFmtId="0" fontId="9" fillId="12" borderId="1" xfId="0" applyFont="1" applyFill="1" applyBorder="1" applyAlignment="1">
      <alignment horizontal="center"/>
    </xf>
    <xf numFmtId="17" fontId="37" fillId="12" borderId="1" xfId="0" applyNumberFormat="1" applyFont="1" applyFill="1" applyBorder="1" applyAlignment="1">
      <alignment horizontal="center"/>
    </xf>
    <xf numFmtId="0" fontId="11" fillId="2" borderId="13" xfId="0" applyFont="1" applyFill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wrapText="1"/>
    </xf>
    <xf numFmtId="44" fontId="16" fillId="2" borderId="1" xfId="2" applyFont="1" applyFill="1" applyBorder="1" applyAlignment="1">
      <alignment horizontal="center"/>
    </xf>
    <xf numFmtId="14" fontId="6" fillId="2" borderId="12" xfId="0" applyNumberFormat="1" applyFont="1" applyFill="1" applyBorder="1" applyAlignment="1">
      <alignment horizontal="center"/>
    </xf>
    <xf numFmtId="44" fontId="14" fillId="2" borderId="1" xfId="1" applyFont="1" applyFill="1" applyBorder="1"/>
    <xf numFmtId="14" fontId="11" fillId="3" borderId="12" xfId="0" applyNumberFormat="1" applyFont="1" applyFill="1" applyBorder="1" applyAlignment="1">
      <alignment horizontal="center"/>
    </xf>
    <xf numFmtId="0" fontId="4" fillId="17" borderId="1" xfId="0" applyFont="1" applyFill="1" applyBorder="1"/>
    <xf numFmtId="0" fontId="4" fillId="17" borderId="12" xfId="0" applyFont="1" applyFill="1" applyBorder="1" applyAlignment="1">
      <alignment horizontal="left" wrapText="1"/>
    </xf>
    <xf numFmtId="0" fontId="38" fillId="0" borderId="0" xfId="0" applyFont="1" applyAlignment="1">
      <alignment horizontal="center"/>
    </xf>
    <xf numFmtId="0" fontId="11" fillId="2" borderId="1" xfId="0" applyFont="1" applyFill="1" applyBorder="1" applyAlignment="1">
      <alignment vertical="center" wrapText="1"/>
    </xf>
    <xf numFmtId="0" fontId="39" fillId="2" borderId="1" xfId="0" applyFont="1" applyFill="1" applyBorder="1"/>
    <xf numFmtId="44" fontId="4" fillId="4" borderId="1" xfId="1" applyFont="1" applyFill="1" applyBorder="1" applyAlignment="1"/>
    <xf numFmtId="44" fontId="4" fillId="4" borderId="1" xfId="1" applyFont="1" applyFill="1" applyBorder="1" applyAlignment="1">
      <alignment horizontal="right" wrapText="1"/>
    </xf>
    <xf numFmtId="0" fontId="4" fillId="4" borderId="1" xfId="3" applyFont="1" applyFill="1" applyBorder="1" applyAlignment="1">
      <alignment horizontal="center"/>
    </xf>
    <xf numFmtId="44" fontId="2" fillId="0" borderId="14" xfId="1" applyFont="1" applyFill="1" applyBorder="1"/>
    <xf numFmtId="0" fontId="4" fillId="17" borderId="13" xfId="0" applyFont="1" applyFill="1" applyBorder="1" applyAlignment="1">
      <alignment horizontal="left"/>
    </xf>
    <xf numFmtId="44" fontId="40" fillId="0" borderId="1" xfId="0" applyNumberFormat="1" applyFont="1" applyBorder="1"/>
    <xf numFmtId="0" fontId="41" fillId="2" borderId="1" xfId="0" applyFont="1" applyFill="1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4" fillId="4" borderId="1" xfId="0" applyFont="1" applyFill="1" applyBorder="1"/>
    <xf numFmtId="0" fontId="24" fillId="15" borderId="4" xfId="0" applyFont="1" applyFill="1" applyBorder="1" applyAlignment="1">
      <alignment horizontal="center"/>
    </xf>
    <xf numFmtId="0" fontId="24" fillId="15" borderId="5" xfId="0" applyFont="1" applyFill="1" applyBorder="1" applyAlignment="1">
      <alignment horizontal="center"/>
    </xf>
    <xf numFmtId="0" fontId="24" fillId="15" borderId="6" xfId="0" applyFont="1" applyFill="1" applyBorder="1" applyAlignment="1">
      <alignment horizontal="center"/>
    </xf>
    <xf numFmtId="0" fontId="24" fillId="15" borderId="7" xfId="0" applyFont="1" applyFill="1" applyBorder="1" applyAlignment="1">
      <alignment horizontal="center"/>
    </xf>
    <xf numFmtId="0" fontId="24" fillId="15" borderId="8" xfId="0" applyFont="1" applyFill="1" applyBorder="1" applyAlignment="1">
      <alignment horizontal="center"/>
    </xf>
    <xf numFmtId="0" fontId="24" fillId="15" borderId="9" xfId="0" applyFont="1" applyFill="1" applyBorder="1" applyAlignment="1">
      <alignment horizontal="center"/>
    </xf>
    <xf numFmtId="14" fontId="14" fillId="2" borderId="2" xfId="0" applyNumberFormat="1" applyFont="1" applyFill="1" applyBorder="1" applyAlignment="1">
      <alignment horizontal="center"/>
    </xf>
    <xf numFmtId="14" fontId="14" fillId="2" borderId="3" xfId="0" applyNumberFormat="1" applyFont="1" applyFill="1" applyBorder="1" applyAlignment="1">
      <alignment horizontal="center"/>
    </xf>
    <xf numFmtId="0" fontId="20" fillId="11" borderId="2" xfId="0" applyFont="1" applyFill="1" applyBorder="1" applyAlignment="1">
      <alignment horizontal="center"/>
    </xf>
    <xf numFmtId="0" fontId="20" fillId="11" borderId="3" xfId="0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20" fillId="14" borderId="3" xfId="0" applyFont="1" applyFill="1" applyBorder="1" applyAlignment="1">
      <alignment horizontal="center"/>
    </xf>
  </cellXfs>
  <cellStyles count="4">
    <cellStyle name="Hiperlink" xfId="3" builtinId="8"/>
    <cellStyle name="Moeda" xfId="1" builtinId="4"/>
    <cellStyle name="Moeda 2" xfId="2" xr:uid="{394BAB14-A733-45DD-80E0-77669EDB001E}"/>
    <cellStyle name="Normal" xfId="0" builtinId="0"/>
  </cellStyles>
  <dxfs count="0"/>
  <tableStyles count="0" defaultTableStyle="TableStyleMedium2" defaultPivotStyle="PivotStyleLight16"/>
  <colors>
    <mruColors>
      <color rgb="FF95F32D"/>
      <color rgb="FFFF0000"/>
      <color rgb="FF339933"/>
      <color rgb="FF0000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258455</xdr:colOff>
      <xdr:row>3</xdr:row>
      <xdr:rowOff>103175</xdr:rowOff>
    </xdr:from>
    <xdr:to>
      <xdr:col>3</xdr:col>
      <xdr:colOff>361950</xdr:colOff>
      <xdr:row>7</xdr:row>
      <xdr:rowOff>78087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5F88427-2B25-4DF7-8477-A9DDC8C41EB2}"/>
            </a:ext>
          </a:extLst>
        </xdr:cNvPr>
        <xdr:cNvSpPr txBox="1"/>
      </xdr:nvSpPr>
      <xdr:spPr>
        <a:xfrm>
          <a:off x="258455" y="779450"/>
          <a:ext cx="3284845" cy="775012"/>
        </a:xfrm>
        <a:prstGeom prst="rect">
          <a:avLst/>
        </a:prstGeom>
        <a:solidFill>
          <a:srgbClr val="003300"/>
        </a:solidFill>
        <a:ln/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4800" b="1" cap="none" spc="0">
              <a:ln w="0">
                <a:solidFill>
                  <a:schemeClr val="accent5">
                    <a:lumMod val="50000"/>
                  </a:schemeClr>
                </a:solidFill>
              </a:ln>
              <a:solidFill>
                <a:schemeClr val="bg1"/>
              </a:solidFill>
              <a:effectLst>
                <a:reflection blurRad="6350" stA="55000" endA="300" endPos="45500" dir="5400000" sy="-100000" algn="bl" rotWithShape="0"/>
              </a:effectLst>
            </a:rPr>
            <a:t>DENER</a:t>
          </a:r>
        </a:p>
      </xdr:txBody>
    </xdr:sp>
    <xdr:clientData/>
  </xdr:twoCellAnchor>
  <xdr:oneCellAnchor>
    <xdr:from>
      <xdr:col>0</xdr:col>
      <xdr:colOff>262538</xdr:colOff>
      <xdr:row>1</xdr:row>
      <xdr:rowOff>217795</xdr:rowOff>
    </xdr:from>
    <xdr:ext cx="1306286" cy="342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CA6AA66-509F-4D72-A7E1-5711636D94F0}"/>
            </a:ext>
          </a:extLst>
        </xdr:cNvPr>
        <xdr:cNvSpPr txBox="1"/>
      </xdr:nvSpPr>
      <xdr:spPr>
        <a:xfrm>
          <a:off x="262538" y="455920"/>
          <a:ext cx="1306286" cy="342786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>
              <a:solidFill>
                <a:schemeClr val="bg1"/>
              </a:solidFill>
            </a:rPr>
            <a:t>CONSULTOR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2\Desktop\JO&#195;O%20GABRIEL\PLANILHA%20JO&#195;O%20GABRIEL%2023.04.2025.xlsx" TargetMode="External"/><Relationship Id="rId1" Type="http://schemas.openxmlformats.org/officeDocument/2006/relationships/externalLinkPath" Target="file:///C:\Users\Pc2\Desktop\JO&#195;O%20GABRIEL\PLANILHA%20JO&#195;O%20GABRIEL%2023.04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ADIMPLENTES"/>
      <sheetName val="PLANILHA GERAL "/>
      <sheetName val="CONTROLE DE VENDAS"/>
      <sheetName val="PARCELAS "/>
      <sheetName val="VENDAS ANUAIS"/>
      <sheetName val="CANCELADOS"/>
    </sheetNames>
    <sheetDataSet>
      <sheetData sheetId="0" refreshError="1"/>
      <sheetData sheetId="1" refreshError="1"/>
      <sheetData sheetId="2" refreshError="1">
        <row r="132">
          <cell r="C132">
            <v>0</v>
          </cell>
        </row>
        <row r="258">
          <cell r="C258">
            <v>0</v>
          </cell>
        </row>
        <row r="292">
          <cell r="C292">
            <v>0</v>
          </cell>
        </row>
        <row r="326">
          <cell r="C326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javascript:__doPostBack('ctl00$Conteudo$grdBuscaAvancada$ctl02$lnkCD_Inscricao','')" TargetMode="External"/><Relationship Id="rId1" Type="http://schemas.openxmlformats.org/officeDocument/2006/relationships/hyperlink" Target="javascript:__doPostBack('ctl00$Conteudo$grdBuscaAvancada$ctl02$lnkCD_Inscricao','')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javascript:__doPostBack('ctl00$Conteudo$grdBuscaAvancada$ctl02$lnkCD_Inscricao','')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javascript:__doPostBack('ctl00$Conteudo$grdBuscaAvancada$ctl02$lnkCD_Inscricao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D4F3-EF4F-4D9D-825E-A9AD08E3CD20}">
  <dimension ref="A1:LV452"/>
  <sheetViews>
    <sheetView tabSelected="1" zoomScaleNormal="100" workbookViewId="0">
      <selection activeCell="D8" sqref="D8"/>
    </sheetView>
  </sheetViews>
  <sheetFormatPr defaultRowHeight="15"/>
  <cols>
    <col min="1" max="1" width="16.5703125" customWidth="1"/>
    <col min="2" max="2" width="11.85546875" bestFit="1" customWidth="1"/>
    <col min="3" max="3" width="19.42578125" bestFit="1" customWidth="1"/>
    <col min="4" max="4" width="25.5703125" bestFit="1" customWidth="1"/>
    <col min="5" max="5" width="19.140625" bestFit="1" customWidth="1"/>
    <col min="6" max="6" width="62.28515625" customWidth="1"/>
    <col min="7" max="7" width="11.28515625" customWidth="1"/>
    <col min="8" max="8" width="17.85546875" bestFit="1" customWidth="1"/>
    <col min="9" max="9" width="17.5703125" customWidth="1"/>
    <col min="10" max="10" width="14.5703125" hidden="1" customWidth="1"/>
    <col min="11" max="11" width="17.85546875" hidden="1" customWidth="1"/>
    <col min="12" max="12" width="13.7109375" style="46" hidden="1" customWidth="1"/>
    <col min="13" max="13" width="17.85546875" style="46" hidden="1" customWidth="1"/>
    <col min="14" max="14" width="13.7109375" hidden="1" customWidth="1"/>
    <col min="15" max="15" width="16.42578125" hidden="1" customWidth="1"/>
    <col min="16" max="16" width="13.140625" bestFit="1" customWidth="1"/>
    <col min="17" max="17" width="16.42578125" style="46" bestFit="1" customWidth="1"/>
    <col min="18" max="18" width="13.5703125" bestFit="1" customWidth="1"/>
    <col min="19" max="19" width="16.42578125" style="46" bestFit="1" customWidth="1"/>
    <col min="20" max="20" width="13.7109375" bestFit="1" customWidth="1"/>
    <col min="21" max="21" width="17.5703125" bestFit="1" customWidth="1"/>
    <col min="22" max="22" width="13.5703125" bestFit="1" customWidth="1"/>
    <col min="23" max="23" width="13.7109375" style="288" bestFit="1" customWidth="1"/>
  </cols>
  <sheetData>
    <row r="1" spans="1:334" s="2" customFormat="1" ht="18.75" customHeight="1">
      <c r="A1" s="1"/>
      <c r="D1" s="3"/>
      <c r="L1" s="3"/>
      <c r="M1" s="3"/>
      <c r="Q1" s="3"/>
      <c r="S1" s="3"/>
      <c r="W1" s="1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</row>
    <row r="2" spans="1:334" s="2" customFormat="1" ht="17.25" customHeight="1">
      <c r="A2" s="1"/>
      <c r="D2" s="3"/>
      <c r="F2" s="6" t="s">
        <v>690</v>
      </c>
      <c r="L2" s="3"/>
      <c r="M2" s="3"/>
      <c r="Q2" s="3"/>
      <c r="S2" s="3"/>
      <c r="W2" s="1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</row>
    <row r="3" spans="1:334" s="2" customFormat="1" ht="17.25" customHeight="1">
      <c r="A3" s="1"/>
      <c r="D3" s="3"/>
      <c r="F3" s="7" t="s">
        <v>0</v>
      </c>
      <c r="L3" s="3"/>
      <c r="M3" s="3"/>
      <c r="Q3" s="3"/>
      <c r="S3" s="3"/>
      <c r="W3" s="1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</row>
    <row r="4" spans="1:334" s="2" customFormat="1" ht="15.75">
      <c r="A4" s="1"/>
      <c r="D4" s="3"/>
      <c r="F4" s="8" t="s">
        <v>1</v>
      </c>
      <c r="L4" s="3"/>
      <c r="M4" s="3"/>
      <c r="Q4" s="3"/>
      <c r="S4" s="3"/>
      <c r="W4" s="1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</row>
    <row r="5" spans="1:334" s="2" customFormat="1" ht="15.75">
      <c r="A5" s="1"/>
      <c r="D5" s="3"/>
      <c r="F5" s="9" t="s">
        <v>2</v>
      </c>
      <c r="L5" s="3"/>
      <c r="M5" s="3"/>
      <c r="Q5" s="3"/>
      <c r="S5" s="3"/>
      <c r="W5" s="1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</row>
    <row r="6" spans="1:334" s="2" customFormat="1" ht="15.75">
      <c r="A6" s="1"/>
      <c r="D6" s="3"/>
      <c r="F6" s="10" t="s">
        <v>3</v>
      </c>
      <c r="L6" s="3"/>
      <c r="M6" s="3"/>
      <c r="Q6" s="3"/>
      <c r="S6" s="3"/>
      <c r="W6" s="1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</row>
    <row r="7" spans="1:334" s="2" customFormat="1" ht="15.75">
      <c r="A7" s="1"/>
      <c r="D7" s="3"/>
      <c r="F7" s="11" t="s">
        <v>4</v>
      </c>
      <c r="L7" s="3"/>
      <c r="M7" s="3"/>
      <c r="Q7" s="3"/>
      <c r="S7" s="3"/>
      <c r="W7" s="1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</row>
    <row r="8" spans="1:334" s="2" customFormat="1" ht="15.75">
      <c r="A8" s="1"/>
      <c r="D8" s="3"/>
      <c r="E8" s="12"/>
      <c r="F8" s="13" t="s">
        <v>5</v>
      </c>
      <c r="L8" s="3"/>
      <c r="M8" s="3"/>
      <c r="Q8" s="3"/>
      <c r="S8" s="3"/>
      <c r="W8" s="1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</row>
    <row r="9" spans="1:334" s="2" customFormat="1" ht="15.75">
      <c r="A9" s="1"/>
      <c r="D9" s="4"/>
      <c r="E9" s="12"/>
      <c r="F9" s="14" t="s">
        <v>6</v>
      </c>
      <c r="L9" s="3"/>
      <c r="M9" s="3"/>
      <c r="Q9" s="3"/>
      <c r="S9" s="3"/>
      <c r="W9" s="1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</row>
    <row r="10" spans="1:334" s="2" customFormat="1" ht="15.75">
      <c r="A10" s="3"/>
      <c r="D10" s="3"/>
      <c r="F10" s="15" t="s">
        <v>7</v>
      </c>
      <c r="L10" s="3"/>
      <c r="M10" s="3"/>
      <c r="Q10" s="3"/>
      <c r="S10" s="3"/>
      <c r="W10" s="1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</row>
    <row r="11" spans="1:334" s="2" customFormat="1" ht="15.75">
      <c r="A11" s="1"/>
      <c r="D11" s="4"/>
      <c r="F11" s="16" t="s">
        <v>8</v>
      </c>
      <c r="L11" s="3"/>
      <c r="M11" s="3"/>
      <c r="Q11" s="3"/>
      <c r="S11" s="3"/>
      <c r="W11" s="1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</row>
    <row r="12" spans="1:334" s="2" customFormat="1" ht="15.75">
      <c r="A12" s="1"/>
      <c r="C12" s="17" t="s">
        <v>529</v>
      </c>
      <c r="D12" s="17" t="s">
        <v>529</v>
      </c>
      <c r="J12" s="18" t="s">
        <v>9</v>
      </c>
      <c r="K12" s="18" t="s">
        <v>9</v>
      </c>
      <c r="L12" s="18" t="s">
        <v>9</v>
      </c>
      <c r="M12" s="18" t="s">
        <v>9</v>
      </c>
      <c r="N12" s="18" t="s">
        <v>9</v>
      </c>
      <c r="O12" s="18" t="s">
        <v>9</v>
      </c>
      <c r="P12" s="18" t="s">
        <v>9</v>
      </c>
      <c r="Q12" s="18" t="s">
        <v>9</v>
      </c>
      <c r="R12" s="18" t="s">
        <v>9</v>
      </c>
      <c r="S12" s="18" t="s">
        <v>9</v>
      </c>
      <c r="T12" s="18" t="s">
        <v>9</v>
      </c>
      <c r="U12" s="264" t="s">
        <v>9</v>
      </c>
      <c r="V12" s="18" t="s">
        <v>9</v>
      </c>
      <c r="W12" s="18" t="s">
        <v>9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</row>
    <row r="13" spans="1:334" s="29" customFormat="1" ht="17.25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19" t="s">
        <v>15</v>
      </c>
      <c r="G13" s="21" t="s">
        <v>16</v>
      </c>
      <c r="H13" s="22" t="s">
        <v>17</v>
      </c>
      <c r="I13" s="23" t="s">
        <v>18</v>
      </c>
      <c r="J13" s="25">
        <v>45809</v>
      </c>
      <c r="K13" s="25" t="s">
        <v>19</v>
      </c>
      <c r="L13" s="25">
        <v>45839</v>
      </c>
      <c r="M13" s="25" t="s">
        <v>19</v>
      </c>
      <c r="N13" s="25">
        <v>45870</v>
      </c>
      <c r="O13" s="25" t="s">
        <v>19</v>
      </c>
      <c r="P13" s="25">
        <v>45901</v>
      </c>
      <c r="Q13" s="25" t="s">
        <v>19</v>
      </c>
      <c r="R13" s="25">
        <v>45931</v>
      </c>
      <c r="S13" s="25" t="s">
        <v>19</v>
      </c>
      <c r="T13" s="24">
        <v>45962</v>
      </c>
      <c r="U13" s="265" t="s">
        <v>19</v>
      </c>
      <c r="V13" s="24">
        <v>45992</v>
      </c>
      <c r="W13" s="25" t="s">
        <v>19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7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  <c r="IW13" s="28"/>
      <c r="IX13" s="28"/>
      <c r="IY13" s="28"/>
      <c r="IZ13" s="28"/>
      <c r="JA13" s="28"/>
      <c r="JB13" s="28"/>
      <c r="JC13" s="28"/>
      <c r="JD13" s="28"/>
      <c r="JE13" s="28"/>
      <c r="JF13" s="28"/>
      <c r="JG13" s="28"/>
      <c r="JH13" s="28"/>
      <c r="JI13" s="28"/>
      <c r="JJ13" s="28"/>
      <c r="JK13" s="28"/>
      <c r="JL13" s="28"/>
      <c r="JM13" s="28"/>
      <c r="JN13" s="28"/>
      <c r="JO13" s="28"/>
      <c r="JP13" s="28"/>
      <c r="JQ13" s="28"/>
      <c r="JR13" s="28"/>
      <c r="JS13" s="28"/>
      <c r="JT13" s="28"/>
      <c r="JU13" s="28"/>
      <c r="JV13" s="28"/>
      <c r="JW13" s="28"/>
      <c r="JX13" s="28"/>
      <c r="JY13" s="28"/>
      <c r="JZ13" s="28"/>
      <c r="KA13" s="28"/>
      <c r="KB13" s="28"/>
      <c r="KC13" s="28"/>
      <c r="KD13" s="28"/>
      <c r="KE13" s="28"/>
      <c r="KF13" s="28"/>
      <c r="KG13" s="28"/>
      <c r="KH13" s="28"/>
      <c r="KI13" s="28"/>
      <c r="KJ13" s="28"/>
      <c r="KK13" s="28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8"/>
      <c r="LD13" s="28"/>
      <c r="LE13" s="28"/>
      <c r="LF13" s="28"/>
      <c r="LG13" s="28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  <c r="LT13" s="28"/>
      <c r="LU13" s="28"/>
      <c r="LV13" s="28"/>
    </row>
    <row r="14" spans="1:334" s="5" customFormat="1" ht="15.75">
      <c r="A14" s="41" t="s">
        <v>68</v>
      </c>
      <c r="B14" s="41" t="s">
        <v>70</v>
      </c>
      <c r="C14" s="112"/>
      <c r="D14" s="144"/>
      <c r="E14" s="162" t="s">
        <v>295</v>
      </c>
      <c r="F14" s="187" t="s">
        <v>82</v>
      </c>
      <c r="G14" s="110">
        <v>17308</v>
      </c>
      <c r="H14" s="34">
        <v>70000</v>
      </c>
      <c r="I14" s="34">
        <v>696.22</v>
      </c>
      <c r="J14" s="35" t="s">
        <v>27</v>
      </c>
      <c r="K14" s="36">
        <v>45814</v>
      </c>
      <c r="L14" s="35" t="s">
        <v>28</v>
      </c>
      <c r="M14" s="160">
        <v>45848</v>
      </c>
      <c r="N14" s="35" t="s">
        <v>26</v>
      </c>
      <c r="O14" s="160">
        <v>45882</v>
      </c>
      <c r="P14" s="164" t="s">
        <v>25</v>
      </c>
      <c r="Q14" s="164"/>
      <c r="R14" s="164" t="s">
        <v>22</v>
      </c>
      <c r="S14" s="164"/>
      <c r="T14" s="164" t="s">
        <v>23</v>
      </c>
      <c r="U14" s="164"/>
      <c r="V14" s="38" t="s">
        <v>24</v>
      </c>
      <c r="W14" s="40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39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  <c r="KO14" s="40"/>
      <c r="KP14" s="40"/>
      <c r="KQ14" s="40"/>
      <c r="KR14" s="40"/>
      <c r="KS14" s="40"/>
      <c r="KT14" s="40"/>
      <c r="KU14" s="40"/>
      <c r="KV14" s="40"/>
      <c r="KW14" s="40"/>
      <c r="KX14" s="40"/>
      <c r="KY14" s="40"/>
      <c r="KZ14" s="40"/>
      <c r="LA14" s="40"/>
      <c r="LB14" s="40"/>
      <c r="LC14" s="40"/>
      <c r="LD14" s="40"/>
      <c r="LE14" s="40"/>
      <c r="LF14" s="40"/>
      <c r="LG14" s="40"/>
      <c r="LH14" s="40"/>
      <c r="LI14" s="40"/>
      <c r="LJ14" s="40"/>
      <c r="LK14" s="40"/>
      <c r="LL14" s="40"/>
      <c r="LM14" s="40"/>
      <c r="LN14" s="40"/>
      <c r="LO14" s="40"/>
      <c r="LP14" s="40"/>
      <c r="LQ14" s="40"/>
      <c r="LR14" s="40"/>
      <c r="LS14" s="40"/>
      <c r="LT14" s="40"/>
      <c r="LU14" s="40"/>
      <c r="LV14" s="40"/>
    </row>
    <row r="15" spans="1:334" s="5" customFormat="1" ht="15.75">
      <c r="A15" s="41" t="s">
        <v>73</v>
      </c>
      <c r="B15" s="30" t="s">
        <v>72</v>
      </c>
      <c r="C15" s="112" t="s">
        <v>621</v>
      </c>
      <c r="D15" s="144"/>
      <c r="E15" s="162" t="s">
        <v>295</v>
      </c>
      <c r="F15" s="187" t="s">
        <v>83</v>
      </c>
      <c r="G15" s="110">
        <v>17308</v>
      </c>
      <c r="H15" s="34">
        <v>70000</v>
      </c>
      <c r="I15" s="34">
        <v>640.64</v>
      </c>
      <c r="J15" s="35" t="s">
        <v>27</v>
      </c>
      <c r="K15" s="36">
        <v>45814</v>
      </c>
      <c r="L15" s="35" t="s">
        <v>28</v>
      </c>
      <c r="M15" s="160">
        <v>45846</v>
      </c>
      <c r="N15" s="35" t="s">
        <v>26</v>
      </c>
      <c r="O15" s="160">
        <v>45876</v>
      </c>
      <c r="P15" s="35" t="s">
        <v>25</v>
      </c>
      <c r="Q15" s="146" t="s">
        <v>194</v>
      </c>
      <c r="R15" s="35" t="s">
        <v>22</v>
      </c>
      <c r="S15" s="199">
        <v>45940</v>
      </c>
      <c r="T15" s="164" t="s">
        <v>23</v>
      </c>
      <c r="U15" s="164"/>
      <c r="V15" s="38" t="s">
        <v>24</v>
      </c>
      <c r="W15" s="40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39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  <c r="JJ15" s="40"/>
      <c r="JK15" s="40"/>
      <c r="JL15" s="40"/>
      <c r="JM15" s="40"/>
      <c r="JN15" s="40"/>
      <c r="JO15" s="40"/>
      <c r="JP15" s="40"/>
      <c r="JQ15" s="40"/>
      <c r="JR15" s="40"/>
      <c r="JS15" s="40"/>
      <c r="JT15" s="40"/>
      <c r="JU15" s="40"/>
      <c r="JV15" s="40"/>
      <c r="JW15" s="40"/>
      <c r="JX15" s="40"/>
      <c r="JY15" s="40"/>
      <c r="JZ15" s="40"/>
      <c r="KA15" s="40"/>
      <c r="KB15" s="40"/>
      <c r="KC15" s="40"/>
      <c r="KD15" s="40"/>
      <c r="KE15" s="40"/>
      <c r="KF15" s="40"/>
      <c r="KG15" s="40"/>
      <c r="KH15" s="40"/>
      <c r="KI15" s="40"/>
      <c r="KJ15" s="40"/>
      <c r="KK15" s="40"/>
      <c r="KL15" s="40"/>
      <c r="KM15" s="40"/>
      <c r="KN15" s="40"/>
      <c r="KO15" s="40"/>
      <c r="KP15" s="40"/>
      <c r="KQ15" s="40"/>
      <c r="KR15" s="40"/>
      <c r="KS15" s="40"/>
      <c r="KT15" s="40"/>
      <c r="KU15" s="40"/>
      <c r="KV15" s="40"/>
      <c r="KW15" s="40"/>
      <c r="KX15" s="40"/>
      <c r="KY15" s="40"/>
      <c r="KZ15" s="40"/>
      <c r="LA15" s="40"/>
      <c r="LB15" s="40"/>
      <c r="LC15" s="40"/>
      <c r="LD15" s="40"/>
      <c r="LE15" s="40"/>
      <c r="LF15" s="40"/>
      <c r="LG15" s="40"/>
      <c r="LH15" s="40"/>
      <c r="LI15" s="40"/>
      <c r="LJ15" s="40"/>
      <c r="LK15" s="40"/>
      <c r="LL15" s="40"/>
      <c r="LM15" s="40"/>
      <c r="LN15" s="40"/>
      <c r="LO15" s="40"/>
      <c r="LP15" s="40"/>
      <c r="LQ15" s="40"/>
      <c r="LR15" s="40"/>
      <c r="LS15" s="40"/>
      <c r="LT15" s="40"/>
      <c r="LU15" s="40"/>
      <c r="LV15" s="40"/>
    </row>
    <row r="16" spans="1:334" s="5" customFormat="1" ht="15.75">
      <c r="A16" s="41" t="s">
        <v>77</v>
      </c>
      <c r="B16" s="41" t="s">
        <v>87</v>
      </c>
      <c r="C16" s="112" t="s">
        <v>621</v>
      </c>
      <c r="D16" s="144"/>
      <c r="E16" s="162" t="s">
        <v>295</v>
      </c>
      <c r="F16" s="187" t="s">
        <v>86</v>
      </c>
      <c r="G16" s="110">
        <v>17308</v>
      </c>
      <c r="H16" s="43">
        <v>70000</v>
      </c>
      <c r="I16" s="34">
        <v>640.64</v>
      </c>
      <c r="J16" s="35" t="s">
        <v>27</v>
      </c>
      <c r="K16" s="36">
        <v>45817</v>
      </c>
      <c r="L16" s="35" t="s">
        <v>28</v>
      </c>
      <c r="M16" s="160">
        <v>45846</v>
      </c>
      <c r="N16" s="35" t="s">
        <v>26</v>
      </c>
      <c r="O16" s="160">
        <v>45881</v>
      </c>
      <c r="P16" s="35" t="s">
        <v>25</v>
      </c>
      <c r="Q16" s="199">
        <v>45915</v>
      </c>
      <c r="R16" s="35" t="s">
        <v>22</v>
      </c>
      <c r="S16" s="199">
        <v>45944</v>
      </c>
      <c r="T16" s="164" t="s">
        <v>23</v>
      </c>
      <c r="U16" s="164"/>
      <c r="V16" s="38" t="s">
        <v>24</v>
      </c>
      <c r="W16" s="40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39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  <c r="KH16" s="40"/>
      <c r="KI16" s="40"/>
      <c r="KJ16" s="40"/>
      <c r="KK16" s="40"/>
      <c r="KL16" s="40"/>
      <c r="KM16" s="40"/>
      <c r="KN16" s="40"/>
      <c r="KO16" s="40"/>
      <c r="KP16" s="40"/>
      <c r="KQ16" s="40"/>
      <c r="KR16" s="40"/>
      <c r="KS16" s="40"/>
      <c r="KT16" s="40"/>
      <c r="KU16" s="40"/>
      <c r="KV16" s="40"/>
      <c r="KW16" s="40"/>
      <c r="KX16" s="40"/>
      <c r="KY16" s="40"/>
      <c r="KZ16" s="40"/>
      <c r="LA16" s="40"/>
      <c r="LB16" s="40"/>
      <c r="LC16" s="40"/>
      <c r="LD16" s="40"/>
      <c r="LE16" s="40"/>
      <c r="LF16" s="40"/>
      <c r="LG16" s="40"/>
      <c r="LH16" s="40"/>
      <c r="LI16" s="40"/>
      <c r="LJ16" s="40"/>
      <c r="LK16" s="40"/>
      <c r="LL16" s="40"/>
      <c r="LM16" s="40"/>
      <c r="LN16" s="40"/>
      <c r="LO16" s="40"/>
      <c r="LP16" s="40"/>
      <c r="LQ16" s="40"/>
      <c r="LR16" s="40"/>
      <c r="LS16" s="40"/>
      <c r="LT16" s="40"/>
      <c r="LU16" s="40"/>
      <c r="LV16" s="40"/>
    </row>
    <row r="17" spans="1:334" s="5" customFormat="1" ht="15.75">
      <c r="A17" s="41" t="s">
        <v>92</v>
      </c>
      <c r="B17" s="41" t="s">
        <v>96</v>
      </c>
      <c r="C17" s="112" t="s">
        <v>621</v>
      </c>
      <c r="D17" s="144" t="s">
        <v>684</v>
      </c>
      <c r="E17" s="32" t="s">
        <v>20</v>
      </c>
      <c r="F17" s="33" t="s">
        <v>97</v>
      </c>
      <c r="G17" s="110">
        <v>17308</v>
      </c>
      <c r="H17" s="43">
        <v>80000</v>
      </c>
      <c r="I17" s="34">
        <v>732.17</v>
      </c>
      <c r="J17" s="35" t="s">
        <v>27</v>
      </c>
      <c r="K17" s="36">
        <v>45821</v>
      </c>
      <c r="L17" s="35" t="s">
        <v>28</v>
      </c>
      <c r="M17" s="160">
        <v>45852</v>
      </c>
      <c r="N17" s="35" t="s">
        <v>26</v>
      </c>
      <c r="O17" s="160">
        <v>45882</v>
      </c>
      <c r="P17" s="35" t="s">
        <v>25</v>
      </c>
      <c r="Q17" s="199">
        <v>45911</v>
      </c>
      <c r="R17" s="35" t="s">
        <v>22</v>
      </c>
      <c r="S17" s="199">
        <v>45940</v>
      </c>
      <c r="T17" s="35" t="s">
        <v>23</v>
      </c>
      <c r="U17" s="160">
        <v>45975</v>
      </c>
      <c r="V17" s="38" t="s">
        <v>24</v>
      </c>
      <c r="W17" s="12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44"/>
      <c r="JO17" s="44"/>
      <c r="JP17" s="44"/>
      <c r="JQ17" s="44"/>
      <c r="JR17" s="44"/>
      <c r="JS17" s="44"/>
      <c r="JT17" s="44"/>
      <c r="JU17" s="44"/>
      <c r="JV17" s="44"/>
      <c r="JW17" s="44"/>
      <c r="JX17" s="44"/>
      <c r="JY17" s="44"/>
      <c r="JZ17" s="44"/>
      <c r="KA17" s="44"/>
      <c r="KB17" s="44"/>
      <c r="KC17" s="44"/>
      <c r="KD17" s="44"/>
      <c r="KE17" s="44"/>
      <c r="KF17" s="44"/>
      <c r="KG17" s="44"/>
      <c r="KH17" s="44"/>
      <c r="KI17" s="44"/>
      <c r="KJ17" s="44"/>
      <c r="KK17" s="44"/>
      <c r="KL17" s="44"/>
      <c r="KM17" s="44"/>
      <c r="KN17" s="44"/>
      <c r="KO17" s="44"/>
      <c r="KP17" s="44"/>
      <c r="KQ17" s="44"/>
      <c r="KR17" s="44"/>
      <c r="KS17" s="44"/>
      <c r="KT17" s="44"/>
      <c r="KU17" s="44"/>
      <c r="KV17" s="44"/>
      <c r="KW17" s="44"/>
      <c r="KX17" s="44"/>
      <c r="KY17" s="44"/>
      <c r="KZ17" s="44"/>
      <c r="LA17" s="44"/>
      <c r="LB17" s="44"/>
      <c r="LC17" s="44"/>
      <c r="LD17" s="44"/>
      <c r="LE17" s="44"/>
      <c r="LF17" s="44"/>
      <c r="LG17" s="44"/>
      <c r="LH17" s="44"/>
      <c r="LI17" s="44"/>
      <c r="LJ17" s="44"/>
      <c r="LK17" s="44"/>
      <c r="LL17" s="44"/>
      <c r="LM17" s="44"/>
      <c r="LN17" s="44"/>
      <c r="LO17" s="44"/>
      <c r="LP17" s="44"/>
      <c r="LQ17" s="44"/>
      <c r="LR17" s="44"/>
      <c r="LS17" s="44"/>
      <c r="LT17" s="44"/>
      <c r="LU17" s="44"/>
      <c r="LV17" s="44"/>
    </row>
    <row r="18" spans="1:334" s="5" customFormat="1" ht="15.75">
      <c r="A18" s="41" t="s">
        <v>93</v>
      </c>
      <c r="B18" s="41" t="s">
        <v>103</v>
      </c>
      <c r="C18" s="112" t="s">
        <v>621</v>
      </c>
      <c r="D18" s="144" t="s">
        <v>684</v>
      </c>
      <c r="E18" s="32" t="s">
        <v>20</v>
      </c>
      <c r="F18" s="145" t="s">
        <v>91</v>
      </c>
      <c r="G18" s="110">
        <v>17308</v>
      </c>
      <c r="H18" s="43">
        <v>51000</v>
      </c>
      <c r="I18" s="43">
        <v>466.76</v>
      </c>
      <c r="J18" s="35" t="s">
        <v>27</v>
      </c>
      <c r="K18" s="36">
        <v>45821</v>
      </c>
      <c r="L18" s="35" t="s">
        <v>28</v>
      </c>
      <c r="M18" s="146" t="s">
        <v>194</v>
      </c>
      <c r="N18" s="35" t="s">
        <v>28</v>
      </c>
      <c r="O18" s="160">
        <v>45861</v>
      </c>
      <c r="P18" s="35" t="s">
        <v>25</v>
      </c>
      <c r="Q18" s="199">
        <v>45908</v>
      </c>
      <c r="R18" s="35" t="s">
        <v>22</v>
      </c>
      <c r="S18" s="199">
        <v>45930</v>
      </c>
      <c r="T18" s="35" t="s">
        <v>23</v>
      </c>
      <c r="U18" s="160">
        <v>45966</v>
      </c>
      <c r="V18" s="38" t="s">
        <v>24</v>
      </c>
      <c r="W18" s="12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  <c r="IW18" s="44"/>
      <c r="IX18" s="44"/>
      <c r="IY18" s="44"/>
      <c r="IZ18" s="44"/>
      <c r="JA18" s="44"/>
      <c r="JB18" s="44"/>
      <c r="JC18" s="44"/>
      <c r="JD18" s="44"/>
      <c r="JE18" s="44"/>
      <c r="JF18" s="44"/>
      <c r="JG18" s="44"/>
      <c r="JH18" s="44"/>
      <c r="JI18" s="44"/>
      <c r="JJ18" s="44"/>
      <c r="JK18" s="44"/>
      <c r="JL18" s="44"/>
      <c r="JM18" s="44"/>
      <c r="JN18" s="44"/>
      <c r="JO18" s="44"/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/>
      <c r="KG18" s="44"/>
      <c r="KH18" s="44"/>
      <c r="KI18" s="44"/>
      <c r="KJ18" s="44"/>
      <c r="KK18" s="44"/>
      <c r="KL18" s="44"/>
      <c r="KM18" s="44"/>
      <c r="KN18" s="44"/>
      <c r="KO18" s="44"/>
      <c r="KP18" s="44"/>
      <c r="KQ18" s="44"/>
      <c r="KR18" s="44"/>
      <c r="KS18" s="44"/>
      <c r="KT18" s="44"/>
      <c r="KU18" s="44"/>
      <c r="KV18" s="44"/>
      <c r="KW18" s="44"/>
      <c r="KX18" s="44"/>
      <c r="KY18" s="44"/>
      <c r="KZ18" s="44"/>
      <c r="LA18" s="44"/>
      <c r="LB18" s="44"/>
      <c r="LC18" s="44"/>
      <c r="LD18" s="44"/>
      <c r="LE18" s="44"/>
      <c r="LF18" s="44"/>
      <c r="LG18" s="44"/>
      <c r="LH18" s="44"/>
      <c r="LI18" s="44"/>
      <c r="LJ18" s="44"/>
      <c r="LK18" s="44"/>
      <c r="LL18" s="44"/>
      <c r="LM18" s="44"/>
      <c r="LN18" s="44"/>
      <c r="LO18" s="44"/>
      <c r="LP18" s="44"/>
      <c r="LQ18" s="44"/>
      <c r="LR18" s="44"/>
      <c r="LS18" s="44"/>
      <c r="LT18" s="44"/>
      <c r="LU18" s="44"/>
      <c r="LV18" s="44"/>
    </row>
    <row r="19" spans="1:334" s="5" customFormat="1" ht="15.75">
      <c r="A19" s="41" t="s">
        <v>95</v>
      </c>
      <c r="B19" s="41" t="s">
        <v>98</v>
      </c>
      <c r="C19" s="112" t="s">
        <v>621</v>
      </c>
      <c r="D19" s="144"/>
      <c r="E19" s="162" t="s">
        <v>295</v>
      </c>
      <c r="F19" s="274" t="s">
        <v>148</v>
      </c>
      <c r="G19" s="110">
        <v>17308</v>
      </c>
      <c r="H19" s="43">
        <v>51000</v>
      </c>
      <c r="I19" s="43">
        <v>466.76</v>
      </c>
      <c r="J19" s="35" t="s">
        <v>27</v>
      </c>
      <c r="K19" s="36">
        <v>45821</v>
      </c>
      <c r="L19" s="35" t="s">
        <v>28</v>
      </c>
      <c r="M19" s="160">
        <v>45849</v>
      </c>
      <c r="N19" s="35" t="s">
        <v>26</v>
      </c>
      <c r="O19" s="160">
        <v>45878</v>
      </c>
      <c r="P19" s="35" t="s">
        <v>25</v>
      </c>
      <c r="Q19" s="199">
        <v>45908</v>
      </c>
      <c r="R19" s="35" t="s">
        <v>22</v>
      </c>
      <c r="S19" s="199">
        <v>45943</v>
      </c>
      <c r="T19" s="164" t="s">
        <v>23</v>
      </c>
      <c r="U19" s="164"/>
      <c r="V19" s="38" t="s">
        <v>24</v>
      </c>
      <c r="W19" s="40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/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/>
      <c r="KB19" s="44"/>
      <c r="KC19" s="44"/>
      <c r="KD19" s="44"/>
      <c r="KE19" s="44"/>
      <c r="KF19" s="44"/>
      <c r="KG19" s="44"/>
      <c r="KH19" s="44"/>
      <c r="KI19" s="44"/>
      <c r="KJ19" s="44"/>
      <c r="KK19" s="44"/>
      <c r="KL19" s="44"/>
      <c r="KM19" s="44"/>
      <c r="KN19" s="44"/>
      <c r="KO19" s="44"/>
      <c r="KP19" s="44"/>
      <c r="KQ19" s="44"/>
      <c r="KR19" s="44"/>
      <c r="KS19" s="44"/>
      <c r="KT19" s="44"/>
      <c r="KU19" s="44"/>
      <c r="KV19" s="44"/>
      <c r="KW19" s="44"/>
      <c r="KX19" s="44"/>
      <c r="KY19" s="44"/>
      <c r="KZ19" s="44"/>
      <c r="LA19" s="44"/>
      <c r="LB19" s="44"/>
      <c r="LC19" s="44"/>
      <c r="LD19" s="44"/>
      <c r="LE19" s="44"/>
      <c r="LF19" s="44"/>
      <c r="LG19" s="44"/>
      <c r="LH19" s="44"/>
      <c r="LI19" s="44"/>
      <c r="LJ19" s="44"/>
      <c r="LK19" s="44"/>
      <c r="LL19" s="44"/>
      <c r="LM19" s="44"/>
      <c r="LN19" s="44"/>
      <c r="LO19" s="44"/>
      <c r="LP19" s="44"/>
      <c r="LQ19" s="44"/>
      <c r="LR19" s="44"/>
      <c r="LS19" s="44"/>
      <c r="LT19" s="44"/>
      <c r="LU19" s="44"/>
      <c r="LV19" s="44"/>
    </row>
    <row r="20" spans="1:334" s="42" customFormat="1" ht="15.75">
      <c r="A20" s="41" t="s">
        <v>100</v>
      </c>
      <c r="B20" s="41" t="s">
        <v>105</v>
      </c>
      <c r="C20" s="112" t="s">
        <v>621</v>
      </c>
      <c r="D20" s="144" t="s">
        <v>684</v>
      </c>
      <c r="E20" s="32" t="s">
        <v>20</v>
      </c>
      <c r="F20" s="33" t="s">
        <v>99</v>
      </c>
      <c r="G20" s="110">
        <v>17308</v>
      </c>
      <c r="H20" s="43">
        <v>100000</v>
      </c>
      <c r="I20" s="43">
        <v>575.29999999999995</v>
      </c>
      <c r="J20" s="119" t="s">
        <v>27</v>
      </c>
      <c r="K20" s="36">
        <v>45824</v>
      </c>
      <c r="L20" s="35" t="s">
        <v>28</v>
      </c>
      <c r="M20" s="160">
        <v>45845</v>
      </c>
      <c r="N20" s="35" t="s">
        <v>26</v>
      </c>
      <c r="O20" s="158">
        <v>45880</v>
      </c>
      <c r="P20" s="35" t="s">
        <v>25</v>
      </c>
      <c r="Q20" s="199">
        <v>45906</v>
      </c>
      <c r="R20" s="35" t="s">
        <v>22</v>
      </c>
      <c r="S20" s="199">
        <v>45937</v>
      </c>
      <c r="T20" s="35" t="s">
        <v>23</v>
      </c>
      <c r="U20" s="160">
        <v>45971</v>
      </c>
      <c r="V20" s="38" t="s">
        <v>24</v>
      </c>
      <c r="W20" s="12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44"/>
      <c r="JO20" s="44"/>
      <c r="JP20" s="44"/>
      <c r="JQ20" s="44"/>
      <c r="JR20" s="44"/>
      <c r="JS20" s="44"/>
      <c r="JT20" s="44"/>
      <c r="JU20" s="44"/>
      <c r="JV20" s="44"/>
      <c r="JW20" s="44"/>
      <c r="JX20" s="44"/>
      <c r="JY20" s="44"/>
      <c r="JZ20" s="44"/>
      <c r="KA20" s="44"/>
      <c r="KB20" s="44"/>
      <c r="KC20" s="44"/>
      <c r="KD20" s="44"/>
      <c r="KE20" s="44"/>
      <c r="KF20" s="44"/>
      <c r="KG20" s="44"/>
      <c r="KH20" s="44"/>
      <c r="KI20" s="44"/>
      <c r="KJ20" s="44"/>
      <c r="KK20" s="44"/>
      <c r="KL20" s="44"/>
      <c r="KM20" s="44"/>
      <c r="KN20" s="44"/>
      <c r="KO20" s="44"/>
      <c r="KP20" s="44"/>
      <c r="KQ20" s="44"/>
      <c r="KR20" s="44"/>
      <c r="KS20" s="44"/>
      <c r="KT20" s="44"/>
      <c r="KU20" s="44"/>
      <c r="KV20" s="44"/>
      <c r="KW20" s="44"/>
      <c r="KX20" s="44"/>
      <c r="KY20" s="44"/>
      <c r="KZ20" s="44"/>
      <c r="LA20" s="44"/>
      <c r="LB20" s="44"/>
      <c r="LC20" s="44"/>
      <c r="LD20" s="44"/>
      <c r="LE20" s="44"/>
      <c r="LF20" s="44"/>
      <c r="LG20" s="44"/>
      <c r="LH20" s="44"/>
      <c r="LI20" s="44"/>
      <c r="LJ20" s="44"/>
      <c r="LK20" s="44"/>
      <c r="LL20" s="44"/>
      <c r="LM20" s="44"/>
      <c r="LN20" s="44"/>
      <c r="LO20" s="44"/>
      <c r="LP20" s="44"/>
      <c r="LQ20" s="44"/>
      <c r="LR20" s="44"/>
      <c r="LS20" s="44"/>
      <c r="LT20" s="44"/>
      <c r="LU20" s="44"/>
      <c r="LV20" s="44"/>
    </row>
    <row r="21" spans="1:334" ht="15.75">
      <c r="A21" s="41" t="s">
        <v>107</v>
      </c>
      <c r="B21" s="122" t="s">
        <v>109</v>
      </c>
      <c r="C21" s="112" t="s">
        <v>621</v>
      </c>
      <c r="D21" s="144" t="s">
        <v>684</v>
      </c>
      <c r="E21" s="32" t="s">
        <v>20</v>
      </c>
      <c r="F21" s="45" t="s">
        <v>115</v>
      </c>
      <c r="G21" s="110">
        <v>17308</v>
      </c>
      <c r="H21" s="43">
        <v>70000</v>
      </c>
      <c r="I21" s="43">
        <v>764.82</v>
      </c>
      <c r="J21" s="111" t="s">
        <v>21</v>
      </c>
      <c r="K21" s="38" t="s">
        <v>21</v>
      </c>
      <c r="L21" s="119" t="s">
        <v>27</v>
      </c>
      <c r="M21" s="168">
        <v>45825</v>
      </c>
      <c r="N21" s="35" t="s">
        <v>28</v>
      </c>
      <c r="O21" s="160">
        <v>45876</v>
      </c>
      <c r="P21" s="35" t="s">
        <v>26</v>
      </c>
      <c r="Q21" s="199">
        <v>45908</v>
      </c>
      <c r="R21" s="35" t="s">
        <v>25</v>
      </c>
      <c r="S21" s="199">
        <v>45937</v>
      </c>
      <c r="T21" s="35" t="s">
        <v>22</v>
      </c>
      <c r="U21" s="160">
        <v>45968</v>
      </c>
      <c r="V21" s="38" t="s">
        <v>23</v>
      </c>
      <c r="W21" s="287"/>
    </row>
    <row r="22" spans="1:334" ht="15.75">
      <c r="A22" s="121" t="s">
        <v>111</v>
      </c>
      <c r="B22" s="122" t="s">
        <v>120</v>
      </c>
      <c r="C22" s="112" t="s">
        <v>621</v>
      </c>
      <c r="D22" s="144" t="s">
        <v>689</v>
      </c>
      <c r="E22" s="32" t="s">
        <v>20</v>
      </c>
      <c r="F22" s="45" t="s">
        <v>116</v>
      </c>
      <c r="G22" s="110">
        <v>17308</v>
      </c>
      <c r="H22" s="43">
        <v>70000</v>
      </c>
      <c r="I22" s="34">
        <v>640.64</v>
      </c>
      <c r="J22" s="111" t="s">
        <v>21</v>
      </c>
      <c r="K22" s="38" t="s">
        <v>21</v>
      </c>
      <c r="L22" s="119" t="s">
        <v>27</v>
      </c>
      <c r="M22" s="168">
        <v>45831</v>
      </c>
      <c r="N22" s="35" t="s">
        <v>28</v>
      </c>
      <c r="O22" s="160">
        <v>45869</v>
      </c>
      <c r="P22" s="35" t="s">
        <v>26</v>
      </c>
      <c r="Q22" s="199">
        <v>45908</v>
      </c>
      <c r="R22" s="35" t="s">
        <v>25</v>
      </c>
      <c r="S22" s="199">
        <v>45936</v>
      </c>
      <c r="T22" s="35" t="s">
        <v>22</v>
      </c>
      <c r="U22" s="160">
        <v>45967</v>
      </c>
      <c r="V22" s="38" t="s">
        <v>23</v>
      </c>
      <c r="W22" s="287"/>
    </row>
    <row r="23" spans="1:334" ht="15.75">
      <c r="A23" s="41" t="s">
        <v>113</v>
      </c>
      <c r="B23" s="122" t="s">
        <v>121</v>
      </c>
      <c r="C23" s="112" t="s">
        <v>621</v>
      </c>
      <c r="D23" s="144" t="s">
        <v>684</v>
      </c>
      <c r="E23" s="32" t="s">
        <v>20</v>
      </c>
      <c r="F23" s="45" t="s">
        <v>240</v>
      </c>
      <c r="G23" s="110">
        <v>17308</v>
      </c>
      <c r="H23" s="43">
        <v>70000</v>
      </c>
      <c r="I23" s="34">
        <v>640.64</v>
      </c>
      <c r="J23" s="111" t="s">
        <v>21</v>
      </c>
      <c r="K23" s="38" t="s">
        <v>21</v>
      </c>
      <c r="L23" s="119" t="s">
        <v>27</v>
      </c>
      <c r="M23" s="168">
        <v>45831</v>
      </c>
      <c r="N23" s="119" t="s">
        <v>28</v>
      </c>
      <c r="O23" s="158">
        <v>45880</v>
      </c>
      <c r="P23" s="119" t="s">
        <v>26</v>
      </c>
      <c r="Q23" s="199">
        <v>45909</v>
      </c>
      <c r="R23" s="119" t="s">
        <v>25</v>
      </c>
      <c r="S23" s="199">
        <v>45940</v>
      </c>
      <c r="T23" s="119" t="s">
        <v>22</v>
      </c>
      <c r="U23" s="160">
        <v>45971</v>
      </c>
      <c r="V23" s="38" t="s">
        <v>23</v>
      </c>
      <c r="W23" s="287"/>
    </row>
    <row r="24" spans="1:334" ht="17.25" customHeight="1">
      <c r="A24" s="41" t="s">
        <v>118</v>
      </c>
      <c r="B24" s="122" t="s">
        <v>127</v>
      </c>
      <c r="C24" s="112"/>
      <c r="D24" s="194"/>
      <c r="E24" s="162" t="s">
        <v>295</v>
      </c>
      <c r="F24" s="187" t="s">
        <v>119</v>
      </c>
      <c r="G24" s="110">
        <v>17308</v>
      </c>
      <c r="H24" s="43">
        <v>70000</v>
      </c>
      <c r="I24" s="34">
        <v>696.22</v>
      </c>
      <c r="J24" s="111" t="s">
        <v>21</v>
      </c>
      <c r="K24" s="38" t="s">
        <v>21</v>
      </c>
      <c r="L24" s="119" t="s">
        <v>27</v>
      </c>
      <c r="M24" s="168">
        <v>45832</v>
      </c>
      <c r="N24" s="119" t="s">
        <v>28</v>
      </c>
      <c r="O24" s="158">
        <v>45876</v>
      </c>
      <c r="P24" s="119" t="s">
        <v>26</v>
      </c>
      <c r="Q24" s="198">
        <v>45915</v>
      </c>
      <c r="R24" s="163" t="s">
        <v>25</v>
      </c>
      <c r="S24" s="163"/>
      <c r="T24" s="163" t="s">
        <v>22</v>
      </c>
      <c r="U24" s="163"/>
      <c r="V24" s="38" t="s">
        <v>23</v>
      </c>
      <c r="W24" s="120"/>
    </row>
    <row r="25" spans="1:334" ht="15.75">
      <c r="A25" s="121" t="s">
        <v>123</v>
      </c>
      <c r="B25" s="122" t="s">
        <v>128</v>
      </c>
      <c r="C25" s="112"/>
      <c r="D25" s="144" t="s">
        <v>684</v>
      </c>
      <c r="E25" s="32" t="s">
        <v>20</v>
      </c>
      <c r="F25" s="207" t="s">
        <v>666</v>
      </c>
      <c r="G25" s="110">
        <v>17308</v>
      </c>
      <c r="H25" s="43">
        <v>80000</v>
      </c>
      <c r="I25" s="34">
        <v>732.17</v>
      </c>
      <c r="J25" s="111" t="s">
        <v>21</v>
      </c>
      <c r="K25" s="38" t="s">
        <v>21</v>
      </c>
      <c r="L25" s="119" t="s">
        <v>27</v>
      </c>
      <c r="M25" s="168">
        <v>45832</v>
      </c>
      <c r="N25" s="119" t="s">
        <v>28</v>
      </c>
      <c r="O25" s="158">
        <v>45883</v>
      </c>
      <c r="P25" s="119" t="s">
        <v>26</v>
      </c>
      <c r="Q25" s="146" t="s">
        <v>194</v>
      </c>
      <c r="R25" s="119" t="s">
        <v>25</v>
      </c>
      <c r="S25" s="146" t="s">
        <v>194</v>
      </c>
      <c r="T25" s="119" t="s">
        <v>26</v>
      </c>
      <c r="U25" s="158">
        <v>45978</v>
      </c>
      <c r="V25" s="38" t="s">
        <v>23</v>
      </c>
      <c r="W25" s="287"/>
    </row>
    <row r="26" spans="1:334" ht="15.75">
      <c r="A26" s="122" t="s">
        <v>126</v>
      </c>
      <c r="B26" s="122" t="s">
        <v>129</v>
      </c>
      <c r="C26" s="112" t="s">
        <v>621</v>
      </c>
      <c r="D26" s="144"/>
      <c r="E26" s="162" t="s">
        <v>295</v>
      </c>
      <c r="F26" s="187" t="s">
        <v>134</v>
      </c>
      <c r="G26" s="110">
        <v>17308</v>
      </c>
      <c r="H26" s="34">
        <v>60000</v>
      </c>
      <c r="I26" s="34">
        <v>655.56</v>
      </c>
      <c r="J26" s="111" t="s">
        <v>21</v>
      </c>
      <c r="K26" s="38" t="s">
        <v>21</v>
      </c>
      <c r="L26" s="119" t="s">
        <v>27</v>
      </c>
      <c r="M26" s="168">
        <v>45833</v>
      </c>
      <c r="N26" s="119" t="s">
        <v>28</v>
      </c>
      <c r="O26" s="158">
        <v>45883</v>
      </c>
      <c r="P26" s="119" t="s">
        <v>26</v>
      </c>
      <c r="Q26" s="198">
        <v>45915</v>
      </c>
      <c r="R26" s="119" t="s">
        <v>25</v>
      </c>
      <c r="S26" s="229" t="s">
        <v>518</v>
      </c>
      <c r="T26" s="163" t="s">
        <v>22</v>
      </c>
      <c r="U26" s="163"/>
      <c r="V26" s="38" t="s">
        <v>23</v>
      </c>
      <c r="W26" s="120"/>
    </row>
    <row r="27" spans="1:334" ht="15.75">
      <c r="A27" s="122" t="s">
        <v>131</v>
      </c>
      <c r="B27" s="122" t="s">
        <v>133</v>
      </c>
      <c r="C27" s="112" t="s">
        <v>621</v>
      </c>
      <c r="D27" s="144" t="s">
        <v>684</v>
      </c>
      <c r="E27" s="32" t="s">
        <v>20</v>
      </c>
      <c r="F27" s="45" t="s">
        <v>241</v>
      </c>
      <c r="G27" s="110">
        <v>17308</v>
      </c>
      <c r="H27" s="43">
        <v>51000</v>
      </c>
      <c r="I27" s="43">
        <v>466.76</v>
      </c>
      <c r="J27" s="111" t="s">
        <v>21</v>
      </c>
      <c r="K27" s="38" t="s">
        <v>21</v>
      </c>
      <c r="L27" s="119" t="s">
        <v>27</v>
      </c>
      <c r="M27" s="168">
        <v>45835</v>
      </c>
      <c r="N27" s="119" t="s">
        <v>28</v>
      </c>
      <c r="O27" s="158">
        <v>45882</v>
      </c>
      <c r="P27" s="119" t="s">
        <v>26</v>
      </c>
      <c r="Q27" s="198">
        <v>45912</v>
      </c>
      <c r="R27" s="119" t="s">
        <v>25</v>
      </c>
      <c r="S27" s="198">
        <v>45945</v>
      </c>
      <c r="T27" s="119" t="s">
        <v>22</v>
      </c>
      <c r="U27" s="158">
        <v>45974</v>
      </c>
      <c r="V27" s="38" t="s">
        <v>23</v>
      </c>
      <c r="W27" s="287"/>
    </row>
    <row r="28" spans="1:334" ht="15.75">
      <c r="A28" s="122" t="s">
        <v>132</v>
      </c>
      <c r="B28" s="122" t="s">
        <v>144</v>
      </c>
      <c r="C28" s="112" t="s">
        <v>621</v>
      </c>
      <c r="D28" s="144" t="s">
        <v>684</v>
      </c>
      <c r="E28" s="32" t="s">
        <v>20</v>
      </c>
      <c r="F28" s="45" t="s">
        <v>135</v>
      </c>
      <c r="G28" s="110">
        <v>17308</v>
      </c>
      <c r="H28" s="43">
        <v>80000</v>
      </c>
      <c r="I28" s="134">
        <v>795.68</v>
      </c>
      <c r="J28" s="111" t="s">
        <v>21</v>
      </c>
      <c r="K28" s="38" t="s">
        <v>21</v>
      </c>
      <c r="L28" s="119" t="s">
        <v>27</v>
      </c>
      <c r="M28" s="168">
        <v>45838</v>
      </c>
      <c r="N28" s="119" t="s">
        <v>28</v>
      </c>
      <c r="O28" s="158">
        <v>45877</v>
      </c>
      <c r="P28" s="119" t="s">
        <v>26</v>
      </c>
      <c r="Q28" s="198">
        <v>45910</v>
      </c>
      <c r="R28" s="119" t="s">
        <v>25</v>
      </c>
      <c r="S28" s="198">
        <v>45945</v>
      </c>
      <c r="T28" s="119" t="s">
        <v>22</v>
      </c>
      <c r="U28" s="158">
        <v>45972</v>
      </c>
      <c r="V28" s="38" t="s">
        <v>23</v>
      </c>
      <c r="W28" s="287"/>
    </row>
    <row r="29" spans="1:334" ht="15.75">
      <c r="A29" s="122" t="s">
        <v>140</v>
      </c>
      <c r="B29" s="122" t="s">
        <v>145</v>
      </c>
      <c r="C29" s="112" t="s">
        <v>621</v>
      </c>
      <c r="D29" s="144" t="s">
        <v>684</v>
      </c>
      <c r="E29" s="32" t="s">
        <v>20</v>
      </c>
      <c r="F29" s="45" t="s">
        <v>141</v>
      </c>
      <c r="G29" s="110">
        <v>17308</v>
      </c>
      <c r="H29" s="43">
        <v>70000</v>
      </c>
      <c r="I29" s="34">
        <v>640.64</v>
      </c>
      <c r="J29" s="111" t="s">
        <v>21</v>
      </c>
      <c r="K29" s="38" t="s">
        <v>21</v>
      </c>
      <c r="L29" s="119" t="s">
        <v>27</v>
      </c>
      <c r="M29" s="168">
        <v>45838</v>
      </c>
      <c r="N29" s="119" t="s">
        <v>28</v>
      </c>
      <c r="O29" s="158">
        <v>45877</v>
      </c>
      <c r="P29" s="119" t="s">
        <v>26</v>
      </c>
      <c r="Q29" s="198">
        <v>45908</v>
      </c>
      <c r="R29" s="119" t="s">
        <v>25</v>
      </c>
      <c r="S29" s="198">
        <v>45938</v>
      </c>
      <c r="T29" s="119" t="s">
        <v>22</v>
      </c>
      <c r="U29" s="158">
        <v>45971</v>
      </c>
      <c r="V29" s="38" t="s">
        <v>23</v>
      </c>
      <c r="W29" s="287"/>
    </row>
    <row r="30" spans="1:334" ht="15.75">
      <c r="A30" s="122" t="s">
        <v>139</v>
      </c>
      <c r="B30" s="122" t="s">
        <v>146</v>
      </c>
      <c r="C30" s="112" t="s">
        <v>621</v>
      </c>
      <c r="D30" s="144"/>
      <c r="E30" s="162" t="s">
        <v>295</v>
      </c>
      <c r="F30" s="187" t="s">
        <v>142</v>
      </c>
      <c r="G30" s="110">
        <v>17308</v>
      </c>
      <c r="H30" s="43">
        <v>110000</v>
      </c>
      <c r="I30" s="43">
        <v>965.66</v>
      </c>
      <c r="J30" s="111" t="s">
        <v>21</v>
      </c>
      <c r="K30" s="38" t="s">
        <v>21</v>
      </c>
      <c r="L30" s="119" t="s">
        <v>27</v>
      </c>
      <c r="M30" s="168">
        <v>45838</v>
      </c>
      <c r="N30" s="119" t="s">
        <v>28</v>
      </c>
      <c r="O30" s="158">
        <v>45876</v>
      </c>
      <c r="P30" s="119" t="s">
        <v>26</v>
      </c>
      <c r="Q30" s="198">
        <v>45915</v>
      </c>
      <c r="R30" s="119" t="s">
        <v>25</v>
      </c>
      <c r="S30" s="199">
        <v>45940</v>
      </c>
      <c r="T30" s="163" t="s">
        <v>22</v>
      </c>
      <c r="U30" s="163"/>
      <c r="V30" s="38" t="s">
        <v>23</v>
      </c>
      <c r="W30" s="120"/>
    </row>
    <row r="31" spans="1:334" ht="15.75">
      <c r="A31" s="122" t="s">
        <v>150</v>
      </c>
      <c r="B31" s="122" t="s">
        <v>157</v>
      </c>
      <c r="C31" s="112" t="s">
        <v>621</v>
      </c>
      <c r="D31" s="144" t="s">
        <v>684</v>
      </c>
      <c r="E31" s="32" t="s">
        <v>20</v>
      </c>
      <c r="F31" s="45" t="s">
        <v>172</v>
      </c>
      <c r="G31" s="110">
        <v>17308</v>
      </c>
      <c r="H31" s="43">
        <v>110000</v>
      </c>
      <c r="I31" s="43">
        <v>965.66</v>
      </c>
      <c r="J31" s="111" t="s">
        <v>21</v>
      </c>
      <c r="K31" s="38" t="s">
        <v>21</v>
      </c>
      <c r="L31" s="119" t="s">
        <v>27</v>
      </c>
      <c r="M31" s="168">
        <v>45847</v>
      </c>
      <c r="N31" s="119" t="s">
        <v>28</v>
      </c>
      <c r="O31" s="158">
        <v>45880</v>
      </c>
      <c r="P31" s="119" t="s">
        <v>26</v>
      </c>
      <c r="Q31" s="198">
        <v>45910</v>
      </c>
      <c r="R31" s="119" t="s">
        <v>25</v>
      </c>
      <c r="S31" s="199">
        <v>45940</v>
      </c>
      <c r="T31" s="119" t="s">
        <v>22</v>
      </c>
      <c r="U31" s="158">
        <v>45971</v>
      </c>
      <c r="V31" s="38" t="s">
        <v>23</v>
      </c>
      <c r="W31" s="287"/>
    </row>
    <row r="32" spans="1:334" ht="15.75">
      <c r="A32" s="122" t="s">
        <v>156</v>
      </c>
      <c r="B32" s="122" t="s">
        <v>160</v>
      </c>
      <c r="C32" s="112" t="s">
        <v>621</v>
      </c>
      <c r="D32" s="144" t="s">
        <v>684</v>
      </c>
      <c r="E32" s="32" t="s">
        <v>20</v>
      </c>
      <c r="F32" s="45" t="s">
        <v>173</v>
      </c>
      <c r="G32" s="110">
        <v>17308</v>
      </c>
      <c r="H32" s="43">
        <v>80000</v>
      </c>
      <c r="I32" s="34">
        <v>732.17</v>
      </c>
      <c r="J32" s="111" t="s">
        <v>21</v>
      </c>
      <c r="K32" s="38" t="s">
        <v>21</v>
      </c>
      <c r="L32" s="119" t="s">
        <v>27</v>
      </c>
      <c r="M32" s="168">
        <v>45847</v>
      </c>
      <c r="N32" s="119" t="s">
        <v>28</v>
      </c>
      <c r="O32" s="158">
        <v>45873</v>
      </c>
      <c r="P32" s="119" t="s">
        <v>26</v>
      </c>
      <c r="Q32" s="198">
        <v>45894</v>
      </c>
      <c r="R32" s="119" t="s">
        <v>25</v>
      </c>
      <c r="S32" s="198">
        <v>45934</v>
      </c>
      <c r="T32" s="119" t="s">
        <v>22</v>
      </c>
      <c r="U32" s="158">
        <v>45964</v>
      </c>
      <c r="V32" s="38" t="s">
        <v>23</v>
      </c>
      <c r="W32" s="287"/>
    </row>
    <row r="33" spans="1:23" ht="15.75">
      <c r="A33" s="122" t="s">
        <v>159</v>
      </c>
      <c r="B33" s="122" t="s">
        <v>169</v>
      </c>
      <c r="C33" s="112" t="s">
        <v>631</v>
      </c>
      <c r="D33" s="144"/>
      <c r="E33" s="162" t="s">
        <v>295</v>
      </c>
      <c r="F33" s="283" t="s">
        <v>174</v>
      </c>
      <c r="G33" s="110">
        <v>17308</v>
      </c>
      <c r="H33" s="34">
        <v>60000</v>
      </c>
      <c r="I33" s="43">
        <v>596.76</v>
      </c>
      <c r="J33" s="111" t="s">
        <v>21</v>
      </c>
      <c r="K33" s="38" t="s">
        <v>21</v>
      </c>
      <c r="L33" s="119" t="s">
        <v>27</v>
      </c>
      <c r="M33" s="168">
        <v>45848</v>
      </c>
      <c r="N33" s="119" t="s">
        <v>28</v>
      </c>
      <c r="O33" s="158">
        <v>45882</v>
      </c>
      <c r="P33" s="32" t="s">
        <v>26</v>
      </c>
      <c r="Q33" s="36">
        <v>45916</v>
      </c>
      <c r="R33" s="119" t="s">
        <v>25</v>
      </c>
      <c r="S33" s="158">
        <v>45950</v>
      </c>
      <c r="T33" s="163" t="s">
        <v>22</v>
      </c>
      <c r="U33" s="163"/>
      <c r="V33" s="38" t="s">
        <v>23</v>
      </c>
      <c r="W33" s="120"/>
    </row>
    <row r="34" spans="1:23" ht="15.75">
      <c r="A34" s="122" t="s">
        <v>164</v>
      </c>
      <c r="B34" s="122" t="s">
        <v>170</v>
      </c>
      <c r="C34" s="112" t="s">
        <v>621</v>
      </c>
      <c r="D34" s="144"/>
      <c r="E34" s="162" t="s">
        <v>295</v>
      </c>
      <c r="F34" s="187" t="s">
        <v>175</v>
      </c>
      <c r="G34" s="110">
        <v>17308</v>
      </c>
      <c r="H34" s="43">
        <v>110000</v>
      </c>
      <c r="I34" s="43">
        <v>965.66</v>
      </c>
      <c r="J34" s="111" t="s">
        <v>21</v>
      </c>
      <c r="K34" s="38" t="s">
        <v>21</v>
      </c>
      <c r="L34" s="119" t="s">
        <v>27</v>
      </c>
      <c r="M34" s="168">
        <v>45849</v>
      </c>
      <c r="N34" s="119" t="s">
        <v>28</v>
      </c>
      <c r="O34" s="158">
        <v>45883</v>
      </c>
      <c r="P34" s="119" t="s">
        <v>26</v>
      </c>
      <c r="Q34" s="198">
        <v>45916</v>
      </c>
      <c r="R34" s="119" t="s">
        <v>25</v>
      </c>
      <c r="S34" s="198">
        <v>45945</v>
      </c>
      <c r="T34" s="163" t="s">
        <v>22</v>
      </c>
      <c r="U34" s="163"/>
      <c r="V34" s="38" t="s">
        <v>23</v>
      </c>
      <c r="W34" s="120"/>
    </row>
    <row r="35" spans="1:23" ht="15.75">
      <c r="A35" s="122" t="s">
        <v>165</v>
      </c>
      <c r="B35" s="122" t="s">
        <v>171</v>
      </c>
      <c r="C35" s="112" t="s">
        <v>621</v>
      </c>
      <c r="D35" s="144" t="s">
        <v>684</v>
      </c>
      <c r="E35" s="190" t="s">
        <v>685</v>
      </c>
      <c r="F35" s="8" t="s">
        <v>176</v>
      </c>
      <c r="G35" s="110">
        <v>17308</v>
      </c>
      <c r="H35" s="43">
        <v>70000</v>
      </c>
      <c r="I35" s="134">
        <v>1307.3699999999999</v>
      </c>
      <c r="J35" s="111" t="s">
        <v>21</v>
      </c>
      <c r="K35" s="38" t="s">
        <v>21</v>
      </c>
      <c r="L35" s="119" t="s">
        <v>27</v>
      </c>
      <c r="M35" s="168">
        <v>45849</v>
      </c>
      <c r="N35" s="119" t="s">
        <v>28</v>
      </c>
      <c r="O35" s="158">
        <v>45869</v>
      </c>
      <c r="P35" s="119" t="s">
        <v>26</v>
      </c>
      <c r="Q35" s="198">
        <v>45890</v>
      </c>
      <c r="R35" s="119" t="s">
        <v>25</v>
      </c>
      <c r="S35" s="198">
        <v>45925</v>
      </c>
      <c r="T35" s="119" t="s">
        <v>22</v>
      </c>
      <c r="U35" s="158">
        <v>45950</v>
      </c>
      <c r="V35" s="38" t="s">
        <v>23</v>
      </c>
      <c r="W35" s="287"/>
    </row>
    <row r="36" spans="1:23" ht="15.75">
      <c r="A36" s="122" t="s">
        <v>168</v>
      </c>
      <c r="B36" s="122" t="s">
        <v>180</v>
      </c>
      <c r="C36" s="112" t="s">
        <v>621</v>
      </c>
      <c r="D36" s="144" t="s">
        <v>684</v>
      </c>
      <c r="E36" s="32" t="s">
        <v>20</v>
      </c>
      <c r="F36" s="45" t="s">
        <v>178</v>
      </c>
      <c r="G36" s="110">
        <v>17308</v>
      </c>
      <c r="H36" s="43">
        <v>140000</v>
      </c>
      <c r="I36" s="134">
        <v>1229.02</v>
      </c>
      <c r="J36" s="111" t="s">
        <v>21</v>
      </c>
      <c r="K36" s="38" t="s">
        <v>21</v>
      </c>
      <c r="L36" s="119" t="s">
        <v>27</v>
      </c>
      <c r="M36" s="168">
        <v>45852</v>
      </c>
      <c r="N36" s="119" t="s">
        <v>28</v>
      </c>
      <c r="O36" s="158">
        <v>45877</v>
      </c>
      <c r="P36" s="119" t="s">
        <v>26</v>
      </c>
      <c r="Q36" s="198">
        <v>45908</v>
      </c>
      <c r="R36" s="119" t="s">
        <v>25</v>
      </c>
      <c r="S36" s="199">
        <v>45940</v>
      </c>
      <c r="T36" s="119" t="s">
        <v>22</v>
      </c>
      <c r="U36" s="158">
        <v>45971</v>
      </c>
      <c r="V36" s="38" t="s">
        <v>23</v>
      </c>
      <c r="W36" s="287"/>
    </row>
    <row r="37" spans="1:23" ht="15.75">
      <c r="A37" s="122" t="s">
        <v>182</v>
      </c>
      <c r="B37" s="122" t="s">
        <v>187</v>
      </c>
      <c r="C37" s="112" t="s">
        <v>621</v>
      </c>
      <c r="D37" s="144" t="s">
        <v>684</v>
      </c>
      <c r="E37" s="32" t="s">
        <v>20</v>
      </c>
      <c r="F37" s="45" t="s">
        <v>188</v>
      </c>
      <c r="G37" s="133">
        <v>24627</v>
      </c>
      <c r="H37" s="142">
        <v>150000</v>
      </c>
      <c r="I37" s="134">
        <v>1316.81</v>
      </c>
      <c r="J37" s="111" t="s">
        <v>21</v>
      </c>
      <c r="K37" s="38" t="s">
        <v>21</v>
      </c>
      <c r="L37" s="38" t="s">
        <v>21</v>
      </c>
      <c r="M37" s="38" t="s">
        <v>21</v>
      </c>
      <c r="N37" s="119" t="s">
        <v>27</v>
      </c>
      <c r="O37" s="168">
        <v>45853</v>
      </c>
      <c r="P37" s="119" t="s">
        <v>28</v>
      </c>
      <c r="Q37" s="198">
        <v>45904</v>
      </c>
      <c r="R37" s="119" t="s">
        <v>26</v>
      </c>
      <c r="S37" s="198">
        <v>45939</v>
      </c>
      <c r="T37" s="119" t="s">
        <v>25</v>
      </c>
      <c r="U37" s="158">
        <v>45971</v>
      </c>
      <c r="V37" s="38" t="s">
        <v>22</v>
      </c>
      <c r="W37" s="120"/>
    </row>
    <row r="38" spans="1:23" ht="15.75">
      <c r="A38" s="122" t="s">
        <v>184</v>
      </c>
      <c r="B38" s="122" t="s">
        <v>185</v>
      </c>
      <c r="C38" s="112" t="s">
        <v>621</v>
      </c>
      <c r="D38" s="144"/>
      <c r="E38" s="162" t="s">
        <v>295</v>
      </c>
      <c r="F38" s="187" t="s">
        <v>186</v>
      </c>
      <c r="G38" s="110">
        <v>17308</v>
      </c>
      <c r="H38" s="43">
        <v>70000</v>
      </c>
      <c r="I38" s="34">
        <v>640.64</v>
      </c>
      <c r="J38" s="111" t="s">
        <v>21</v>
      </c>
      <c r="K38" s="38" t="s">
        <v>21</v>
      </c>
      <c r="L38" s="38" t="s">
        <v>21</v>
      </c>
      <c r="M38" s="38" t="s">
        <v>21</v>
      </c>
      <c r="N38" s="119" t="s">
        <v>27</v>
      </c>
      <c r="O38" s="168">
        <v>45853</v>
      </c>
      <c r="P38" s="32" t="s">
        <v>28</v>
      </c>
      <c r="Q38" s="31" t="s">
        <v>404</v>
      </c>
      <c r="R38" s="119" t="s">
        <v>26</v>
      </c>
      <c r="S38" s="229" t="s">
        <v>518</v>
      </c>
      <c r="T38" s="163" t="s">
        <v>25</v>
      </c>
      <c r="U38" s="163"/>
      <c r="V38" s="38" t="s">
        <v>22</v>
      </c>
      <c r="W38" s="120"/>
    </row>
    <row r="39" spans="1:23" ht="15.75">
      <c r="A39" s="122" t="s">
        <v>190</v>
      </c>
      <c r="B39" s="122" t="s">
        <v>193</v>
      </c>
      <c r="C39" s="112" t="s">
        <v>621</v>
      </c>
      <c r="D39" s="144" t="s">
        <v>684</v>
      </c>
      <c r="E39" s="32" t="s">
        <v>20</v>
      </c>
      <c r="F39" s="45" t="s">
        <v>189</v>
      </c>
      <c r="G39" s="110">
        <v>17308</v>
      </c>
      <c r="H39" s="43">
        <v>200000</v>
      </c>
      <c r="I39" s="143">
        <v>1755.74</v>
      </c>
      <c r="J39" s="111" t="s">
        <v>21</v>
      </c>
      <c r="K39" s="38" t="s">
        <v>21</v>
      </c>
      <c r="L39" s="38" t="s">
        <v>21</v>
      </c>
      <c r="M39" s="38" t="s">
        <v>21</v>
      </c>
      <c r="N39" s="119" t="s">
        <v>27</v>
      </c>
      <c r="O39" s="168">
        <v>45859</v>
      </c>
      <c r="P39" s="119" t="s">
        <v>28</v>
      </c>
      <c r="Q39" s="198">
        <v>45908</v>
      </c>
      <c r="R39" s="119" t="s">
        <v>26</v>
      </c>
      <c r="S39" s="198">
        <v>45938</v>
      </c>
      <c r="T39" s="119" t="s">
        <v>25</v>
      </c>
      <c r="U39" s="158">
        <v>45967</v>
      </c>
      <c r="V39" s="38" t="s">
        <v>22</v>
      </c>
      <c r="W39" s="287"/>
    </row>
    <row r="40" spans="1:23" ht="15.75">
      <c r="A40" s="122" t="s">
        <v>192</v>
      </c>
      <c r="B40" s="122" t="s">
        <v>195</v>
      </c>
      <c r="C40" s="165" t="s">
        <v>298</v>
      </c>
      <c r="D40" s="144" t="s">
        <v>684</v>
      </c>
      <c r="E40" s="32" t="s">
        <v>20</v>
      </c>
      <c r="F40" s="131" t="s">
        <v>191</v>
      </c>
      <c r="G40" s="110">
        <v>17308</v>
      </c>
      <c r="H40" s="43">
        <v>70000</v>
      </c>
      <c r="I40" s="34">
        <v>640.64</v>
      </c>
      <c r="J40" s="139" t="s">
        <v>21</v>
      </c>
      <c r="K40" s="140" t="s">
        <v>21</v>
      </c>
      <c r="L40" s="38" t="s">
        <v>21</v>
      </c>
      <c r="M40" s="38" t="s">
        <v>21</v>
      </c>
      <c r="N40" s="119" t="s">
        <v>27</v>
      </c>
      <c r="O40" s="168">
        <v>45860</v>
      </c>
      <c r="P40" s="119" t="s">
        <v>28</v>
      </c>
      <c r="Q40" s="198">
        <v>45901</v>
      </c>
      <c r="R40" s="119" t="s">
        <v>26</v>
      </c>
      <c r="S40" s="198">
        <v>45931</v>
      </c>
      <c r="T40" s="119" t="s">
        <v>25</v>
      </c>
      <c r="U40" s="158">
        <v>45965</v>
      </c>
      <c r="V40" s="38" t="s">
        <v>22</v>
      </c>
      <c r="W40" s="287"/>
    </row>
    <row r="41" spans="1:23" ht="15.75">
      <c r="A41" s="122" t="s">
        <v>197</v>
      </c>
      <c r="B41" s="122" t="s">
        <v>198</v>
      </c>
      <c r="C41" s="112" t="s">
        <v>621</v>
      </c>
      <c r="D41" s="144"/>
      <c r="E41" s="162" t="s">
        <v>295</v>
      </c>
      <c r="F41" s="187" t="s">
        <v>196</v>
      </c>
      <c r="G41" s="110">
        <v>17308</v>
      </c>
      <c r="H41" s="43">
        <v>70000</v>
      </c>
      <c r="I41" s="212">
        <v>640.64</v>
      </c>
      <c r="J41" s="120"/>
      <c r="K41" s="120"/>
      <c r="L41" s="38" t="s">
        <v>21</v>
      </c>
      <c r="M41" s="38" t="s">
        <v>21</v>
      </c>
      <c r="N41" s="119" t="s">
        <v>27</v>
      </c>
      <c r="O41" s="168">
        <v>45862</v>
      </c>
      <c r="P41" s="119" t="s">
        <v>28</v>
      </c>
      <c r="Q41" s="198">
        <v>45904</v>
      </c>
      <c r="R41" s="119" t="s">
        <v>26</v>
      </c>
      <c r="S41" s="201">
        <v>45937</v>
      </c>
      <c r="T41" s="163" t="s">
        <v>25</v>
      </c>
      <c r="U41" s="163"/>
      <c r="V41" s="38" t="s">
        <v>22</v>
      </c>
      <c r="W41" s="120"/>
    </row>
    <row r="42" spans="1:23" ht="15.75">
      <c r="A42" s="267" t="s">
        <v>200</v>
      </c>
      <c r="B42" s="267" t="s">
        <v>204</v>
      </c>
      <c r="C42" s="112" t="s">
        <v>631</v>
      </c>
      <c r="D42" s="144" t="s">
        <v>684</v>
      </c>
      <c r="E42" s="32" t="s">
        <v>20</v>
      </c>
      <c r="F42" s="207" t="s">
        <v>199</v>
      </c>
      <c r="G42" s="110">
        <v>17308</v>
      </c>
      <c r="H42" s="43">
        <v>110000</v>
      </c>
      <c r="I42" s="213">
        <v>965.66</v>
      </c>
      <c r="J42" s="120"/>
      <c r="K42" s="120"/>
      <c r="L42" s="38" t="s">
        <v>21</v>
      </c>
      <c r="M42" s="38" t="s">
        <v>21</v>
      </c>
      <c r="N42" s="119" t="s">
        <v>27</v>
      </c>
      <c r="O42" s="168">
        <v>45863</v>
      </c>
      <c r="P42" s="119" t="s">
        <v>28</v>
      </c>
      <c r="Q42" s="198">
        <v>45908</v>
      </c>
      <c r="R42" s="119" t="s">
        <v>26</v>
      </c>
      <c r="S42" s="158">
        <v>45950</v>
      </c>
      <c r="T42" s="119" t="s">
        <v>25</v>
      </c>
      <c r="U42" s="158">
        <v>45975</v>
      </c>
      <c r="V42" s="38" t="s">
        <v>22</v>
      </c>
      <c r="W42" s="287"/>
    </row>
    <row r="43" spans="1:23" ht="15.75">
      <c r="A43" s="122" t="s">
        <v>202</v>
      </c>
      <c r="B43" s="122" t="s">
        <v>205</v>
      </c>
      <c r="C43" s="112"/>
      <c r="D43" s="194"/>
      <c r="E43" s="162" t="s">
        <v>295</v>
      </c>
      <c r="F43" s="187" t="s">
        <v>201</v>
      </c>
      <c r="G43" s="110">
        <v>17308</v>
      </c>
      <c r="H43" s="43">
        <v>51000</v>
      </c>
      <c r="I43" s="213">
        <v>466.76</v>
      </c>
      <c r="J43" s="120"/>
      <c r="K43" s="120"/>
      <c r="L43" s="38" t="s">
        <v>21</v>
      </c>
      <c r="M43" s="38" t="s">
        <v>21</v>
      </c>
      <c r="N43" s="119" t="s">
        <v>27</v>
      </c>
      <c r="O43" s="168">
        <v>45863</v>
      </c>
      <c r="P43" s="119" t="s">
        <v>28</v>
      </c>
      <c r="Q43" s="198">
        <v>45915</v>
      </c>
      <c r="R43" s="163" t="s">
        <v>26</v>
      </c>
      <c r="S43" s="163"/>
      <c r="T43" s="163" t="s">
        <v>25</v>
      </c>
      <c r="U43" s="163"/>
      <c r="V43" s="38" t="s">
        <v>22</v>
      </c>
      <c r="W43" s="120"/>
    </row>
    <row r="44" spans="1:23" ht="15.75">
      <c r="A44" s="122" t="s">
        <v>230</v>
      </c>
      <c r="B44" s="122" t="s">
        <v>231</v>
      </c>
      <c r="C44" s="112"/>
      <c r="D44" s="144"/>
      <c r="E44" s="162" t="s">
        <v>295</v>
      </c>
      <c r="F44" s="188" t="s">
        <v>206</v>
      </c>
      <c r="G44" s="110">
        <v>17308</v>
      </c>
      <c r="H44" s="43">
        <v>120000</v>
      </c>
      <c r="I44" s="43">
        <v>1053.45</v>
      </c>
      <c r="L44" s="38" t="s">
        <v>21</v>
      </c>
      <c r="M44" s="38" t="s">
        <v>21</v>
      </c>
      <c r="N44" s="119" t="s">
        <v>27</v>
      </c>
      <c r="O44" s="168">
        <v>45864</v>
      </c>
      <c r="P44" s="163" t="s">
        <v>28</v>
      </c>
      <c r="Q44" s="163"/>
      <c r="R44" s="163" t="s">
        <v>26</v>
      </c>
      <c r="S44" s="163"/>
      <c r="T44" s="163" t="s">
        <v>25</v>
      </c>
      <c r="U44" s="163"/>
      <c r="V44" s="38" t="s">
        <v>22</v>
      </c>
      <c r="W44" s="120"/>
    </row>
    <row r="45" spans="1:23" ht="15.75">
      <c r="A45" s="122" t="s">
        <v>211</v>
      </c>
      <c r="B45" s="122" t="s">
        <v>212</v>
      </c>
      <c r="C45" s="112" t="s">
        <v>621</v>
      </c>
      <c r="D45" s="144" t="s">
        <v>684</v>
      </c>
      <c r="E45" s="32" t="s">
        <v>20</v>
      </c>
      <c r="F45" s="151" t="s">
        <v>213</v>
      </c>
      <c r="G45" s="110">
        <v>17308</v>
      </c>
      <c r="H45" s="43">
        <v>90000</v>
      </c>
      <c r="I45" s="213">
        <v>823.69</v>
      </c>
      <c r="J45" s="120"/>
      <c r="K45" s="120"/>
      <c r="L45" s="38" t="s">
        <v>21</v>
      </c>
      <c r="M45" s="38" t="s">
        <v>21</v>
      </c>
      <c r="N45" s="119" t="s">
        <v>27</v>
      </c>
      <c r="O45" s="168">
        <v>45864</v>
      </c>
      <c r="P45" s="119" t="s">
        <v>28</v>
      </c>
      <c r="Q45" s="198">
        <v>45901</v>
      </c>
      <c r="R45" s="119" t="s">
        <v>26</v>
      </c>
      <c r="S45" s="198">
        <v>45932</v>
      </c>
      <c r="T45" s="119" t="s">
        <v>25</v>
      </c>
      <c r="U45" s="158">
        <v>45971</v>
      </c>
      <c r="V45" s="38" t="s">
        <v>22</v>
      </c>
      <c r="W45" s="287"/>
    </row>
    <row r="46" spans="1:23" ht="15.75">
      <c r="A46" s="122" t="s">
        <v>216</v>
      </c>
      <c r="B46" s="122" t="s">
        <v>217</v>
      </c>
      <c r="C46" s="112" t="s">
        <v>621</v>
      </c>
      <c r="D46" s="144" t="s">
        <v>684</v>
      </c>
      <c r="E46" s="32" t="s">
        <v>20</v>
      </c>
      <c r="F46" s="151" t="s">
        <v>218</v>
      </c>
      <c r="G46" s="110">
        <v>17308</v>
      </c>
      <c r="H46" s="43">
        <v>70000</v>
      </c>
      <c r="I46" s="212">
        <v>640.64</v>
      </c>
      <c r="J46" s="120"/>
      <c r="K46" s="120"/>
      <c r="L46" s="38" t="s">
        <v>21</v>
      </c>
      <c r="M46" s="38" t="s">
        <v>21</v>
      </c>
      <c r="N46" s="119" t="s">
        <v>27</v>
      </c>
      <c r="O46" s="168">
        <v>45864</v>
      </c>
      <c r="P46" s="119" t="s">
        <v>28</v>
      </c>
      <c r="Q46" s="198">
        <v>45915</v>
      </c>
      <c r="R46" s="119" t="s">
        <v>26</v>
      </c>
      <c r="S46" s="198">
        <v>45940</v>
      </c>
      <c r="T46" s="119" t="s">
        <v>25</v>
      </c>
      <c r="U46" s="158">
        <v>45975</v>
      </c>
      <c r="V46" s="38" t="s">
        <v>22</v>
      </c>
      <c r="W46" s="287"/>
    </row>
    <row r="47" spans="1:23" ht="15.75">
      <c r="A47" s="122" t="s">
        <v>220</v>
      </c>
      <c r="B47" s="122" t="s">
        <v>221</v>
      </c>
      <c r="C47" s="112" t="s">
        <v>621</v>
      </c>
      <c r="D47" s="144" t="s">
        <v>684</v>
      </c>
      <c r="E47" s="32" t="s">
        <v>20</v>
      </c>
      <c r="F47" s="151" t="s">
        <v>225</v>
      </c>
      <c r="G47" s="110">
        <v>17308</v>
      </c>
      <c r="H47" s="43">
        <v>220000</v>
      </c>
      <c r="I47" s="214">
        <v>879.87</v>
      </c>
      <c r="J47" s="120"/>
      <c r="K47" s="120"/>
      <c r="L47" s="38" t="s">
        <v>21</v>
      </c>
      <c r="M47" s="38" t="s">
        <v>21</v>
      </c>
      <c r="N47" s="119" t="s">
        <v>27</v>
      </c>
      <c r="O47" s="168">
        <v>45866</v>
      </c>
      <c r="P47" s="119" t="s">
        <v>28</v>
      </c>
      <c r="Q47" s="198">
        <v>45902</v>
      </c>
      <c r="R47" s="119" t="s">
        <v>26</v>
      </c>
      <c r="S47" s="198">
        <v>45932</v>
      </c>
      <c r="T47" s="119" t="s">
        <v>25</v>
      </c>
      <c r="U47" s="158">
        <v>45975</v>
      </c>
      <c r="V47" s="38" t="s">
        <v>22</v>
      </c>
      <c r="W47" s="287"/>
    </row>
    <row r="48" spans="1:23" ht="15.75">
      <c r="A48" s="122" t="s">
        <v>222</v>
      </c>
      <c r="B48" s="122" t="s">
        <v>223</v>
      </c>
      <c r="C48" s="112" t="s">
        <v>621</v>
      </c>
      <c r="D48" s="144" t="s">
        <v>684</v>
      </c>
      <c r="E48" s="32" t="s">
        <v>20</v>
      </c>
      <c r="F48" s="227" t="s">
        <v>226</v>
      </c>
      <c r="G48" s="110">
        <v>17308</v>
      </c>
      <c r="H48" s="43">
        <v>120000</v>
      </c>
      <c r="I48" s="214">
        <v>1053.45</v>
      </c>
      <c r="J48" s="120"/>
      <c r="K48" s="120"/>
      <c r="L48" s="38" t="s">
        <v>21</v>
      </c>
      <c r="M48" s="38" t="s">
        <v>21</v>
      </c>
      <c r="N48" s="119" t="s">
        <v>27</v>
      </c>
      <c r="O48" s="168">
        <v>45866</v>
      </c>
      <c r="P48" s="119" t="s">
        <v>28</v>
      </c>
      <c r="Q48" s="146" t="s">
        <v>194</v>
      </c>
      <c r="R48" s="119" t="s">
        <v>28</v>
      </c>
      <c r="S48" s="198">
        <v>45916</v>
      </c>
      <c r="T48" s="119" t="s">
        <v>25</v>
      </c>
      <c r="U48" s="158">
        <v>45974</v>
      </c>
      <c r="V48" s="38" t="s">
        <v>22</v>
      </c>
      <c r="W48" s="287"/>
    </row>
    <row r="49" spans="1:23" ht="15.75">
      <c r="A49" s="161" t="s">
        <v>252</v>
      </c>
      <c r="B49" s="122" t="s">
        <v>229</v>
      </c>
      <c r="C49" s="112" t="s">
        <v>621</v>
      </c>
      <c r="D49" s="144"/>
      <c r="E49" s="162" t="s">
        <v>295</v>
      </c>
      <c r="F49" s="188" t="s">
        <v>227</v>
      </c>
      <c r="G49" s="110">
        <v>17308</v>
      </c>
      <c r="H49" s="43">
        <v>70000</v>
      </c>
      <c r="I49" s="212">
        <v>640.64</v>
      </c>
      <c r="J49" s="120"/>
      <c r="K49" s="120"/>
      <c r="L49" s="38" t="s">
        <v>21</v>
      </c>
      <c r="M49" s="38" t="s">
        <v>21</v>
      </c>
      <c r="N49" s="119" t="s">
        <v>27</v>
      </c>
      <c r="O49" s="168">
        <v>45866</v>
      </c>
      <c r="P49" s="119" t="s">
        <v>28</v>
      </c>
      <c r="Q49" s="198">
        <v>45913</v>
      </c>
      <c r="R49" s="119" t="s">
        <v>26</v>
      </c>
      <c r="S49" s="198">
        <v>45940</v>
      </c>
      <c r="T49" s="163" t="s">
        <v>25</v>
      </c>
      <c r="U49" s="163"/>
      <c r="V49" s="38" t="s">
        <v>22</v>
      </c>
      <c r="W49" s="120"/>
    </row>
    <row r="50" spans="1:23" ht="15.75">
      <c r="A50" s="122" t="s">
        <v>237</v>
      </c>
      <c r="B50" s="122" t="s">
        <v>238</v>
      </c>
      <c r="C50" s="112" t="s">
        <v>621</v>
      </c>
      <c r="D50" s="144"/>
      <c r="E50" s="162" t="s">
        <v>295</v>
      </c>
      <c r="F50" s="188" t="s">
        <v>263</v>
      </c>
      <c r="G50" s="110">
        <v>17308</v>
      </c>
      <c r="H50" s="152">
        <v>170000</v>
      </c>
      <c r="I50" s="153">
        <v>1092.8900000000001</v>
      </c>
      <c r="J50" s="120"/>
      <c r="K50" s="120"/>
      <c r="L50" s="38" t="s">
        <v>21</v>
      </c>
      <c r="M50" s="38" t="s">
        <v>21</v>
      </c>
      <c r="N50" s="119" t="s">
        <v>27</v>
      </c>
      <c r="O50" s="168">
        <v>45868</v>
      </c>
      <c r="P50" s="119" t="s">
        <v>28</v>
      </c>
      <c r="Q50" s="198">
        <v>45915</v>
      </c>
      <c r="R50" s="119" t="s">
        <v>26</v>
      </c>
      <c r="S50" s="198">
        <v>45944</v>
      </c>
      <c r="T50" s="163" t="s">
        <v>25</v>
      </c>
      <c r="U50" s="163"/>
      <c r="V50" s="38" t="s">
        <v>22</v>
      </c>
      <c r="W50" s="120"/>
    </row>
    <row r="51" spans="1:23" ht="15.75">
      <c r="A51" s="122" t="s">
        <v>235</v>
      </c>
      <c r="B51" s="122" t="s">
        <v>236</v>
      </c>
      <c r="C51" s="112" t="s">
        <v>621</v>
      </c>
      <c r="D51" s="144"/>
      <c r="E51" s="162" t="s">
        <v>295</v>
      </c>
      <c r="F51" s="188" t="s">
        <v>270</v>
      </c>
      <c r="G51" s="110">
        <v>17308</v>
      </c>
      <c r="H51" s="43">
        <v>51000</v>
      </c>
      <c r="I51" s="213">
        <v>466.76</v>
      </c>
      <c r="J51" s="120"/>
      <c r="K51" s="120"/>
      <c r="L51" s="38" t="s">
        <v>21</v>
      </c>
      <c r="M51" s="38" t="s">
        <v>21</v>
      </c>
      <c r="N51" s="119" t="s">
        <v>27</v>
      </c>
      <c r="O51" s="168">
        <v>45868</v>
      </c>
      <c r="P51" s="119" t="s">
        <v>28</v>
      </c>
      <c r="Q51" s="198">
        <v>45904</v>
      </c>
      <c r="R51" s="119" t="s">
        <v>26</v>
      </c>
      <c r="S51" s="198">
        <v>45938</v>
      </c>
      <c r="T51" s="163" t="s">
        <v>25</v>
      </c>
      <c r="U51" s="163"/>
      <c r="V51" s="38" t="s">
        <v>22</v>
      </c>
      <c r="W51" s="120"/>
    </row>
    <row r="52" spans="1:23" ht="15.75">
      <c r="A52" s="196" t="s">
        <v>243</v>
      </c>
      <c r="B52" s="122" t="s">
        <v>244</v>
      </c>
      <c r="C52" s="112" t="s">
        <v>621</v>
      </c>
      <c r="D52" s="144" t="s">
        <v>684</v>
      </c>
      <c r="E52" s="135" t="s">
        <v>20</v>
      </c>
      <c r="F52" s="154" t="s">
        <v>269</v>
      </c>
      <c r="G52" s="136">
        <v>17308</v>
      </c>
      <c r="H52" s="137">
        <v>70000</v>
      </c>
      <c r="I52" s="215">
        <v>640.64</v>
      </c>
      <c r="J52" s="120"/>
      <c r="K52" s="120"/>
      <c r="L52" s="140" t="s">
        <v>21</v>
      </c>
      <c r="M52" s="140" t="s">
        <v>21</v>
      </c>
      <c r="N52" s="119" t="s">
        <v>27</v>
      </c>
      <c r="O52" s="168">
        <v>45868</v>
      </c>
      <c r="P52" s="119" t="s">
        <v>28</v>
      </c>
      <c r="Q52" s="198">
        <v>45905</v>
      </c>
      <c r="R52" s="119" t="s">
        <v>26</v>
      </c>
      <c r="S52" s="198">
        <v>45933</v>
      </c>
      <c r="T52" s="119" t="s">
        <v>25</v>
      </c>
      <c r="U52" s="158">
        <v>45968</v>
      </c>
      <c r="V52" s="38" t="s">
        <v>22</v>
      </c>
      <c r="W52" s="287"/>
    </row>
    <row r="53" spans="1:23" ht="15.75">
      <c r="A53" s="122" t="s">
        <v>239</v>
      </c>
      <c r="B53" s="122" t="s">
        <v>249</v>
      </c>
      <c r="C53" s="112" t="s">
        <v>621</v>
      </c>
      <c r="D53" s="144" t="s">
        <v>684</v>
      </c>
      <c r="E53" s="32" t="s">
        <v>20</v>
      </c>
      <c r="F53" s="151" t="s">
        <v>268</v>
      </c>
      <c r="G53" s="110">
        <v>17308</v>
      </c>
      <c r="H53" s="43">
        <v>70000</v>
      </c>
      <c r="I53" s="212">
        <v>640.64</v>
      </c>
      <c r="J53" s="120"/>
      <c r="K53" s="120"/>
      <c r="L53" s="38" t="s">
        <v>21</v>
      </c>
      <c r="M53" s="38" t="s">
        <v>21</v>
      </c>
      <c r="N53" s="119" t="s">
        <v>27</v>
      </c>
      <c r="O53" s="168">
        <v>45869</v>
      </c>
      <c r="P53" s="119" t="s">
        <v>28</v>
      </c>
      <c r="Q53" s="198">
        <v>45898</v>
      </c>
      <c r="R53" s="119" t="s">
        <v>26</v>
      </c>
      <c r="S53" s="198">
        <v>45930</v>
      </c>
      <c r="T53" s="119" t="s">
        <v>25</v>
      </c>
      <c r="U53" s="158">
        <v>45965</v>
      </c>
      <c r="V53" s="38" t="s">
        <v>22</v>
      </c>
      <c r="W53" s="287"/>
    </row>
    <row r="54" spans="1:23" ht="15.75">
      <c r="A54" s="122" t="s">
        <v>247</v>
      </c>
      <c r="B54" s="122" t="s">
        <v>250</v>
      </c>
      <c r="C54" s="112" t="s">
        <v>621</v>
      </c>
      <c r="D54" s="144" t="s">
        <v>684</v>
      </c>
      <c r="E54" s="32" t="s">
        <v>20</v>
      </c>
      <c r="F54" s="151" t="s">
        <v>267</v>
      </c>
      <c r="G54" s="110">
        <v>17308</v>
      </c>
      <c r="H54" s="152">
        <v>100000</v>
      </c>
      <c r="I54" s="155">
        <v>915.21</v>
      </c>
      <c r="J54" s="120"/>
      <c r="K54" s="120"/>
      <c r="L54" s="38" t="s">
        <v>21</v>
      </c>
      <c r="M54" s="38" t="s">
        <v>21</v>
      </c>
      <c r="N54" s="119" t="s">
        <v>27</v>
      </c>
      <c r="O54" s="168">
        <v>45869</v>
      </c>
      <c r="P54" s="119" t="s">
        <v>28</v>
      </c>
      <c r="Q54" s="198">
        <v>45905</v>
      </c>
      <c r="R54" s="119" t="s">
        <v>26</v>
      </c>
      <c r="S54" s="198">
        <v>45933</v>
      </c>
      <c r="T54" s="119" t="s">
        <v>25</v>
      </c>
      <c r="U54" s="158">
        <v>45958</v>
      </c>
      <c r="V54" s="38" t="s">
        <v>22</v>
      </c>
      <c r="W54" s="287"/>
    </row>
    <row r="55" spans="1:23" ht="15.75">
      <c r="A55" s="122" t="s">
        <v>248</v>
      </c>
      <c r="B55" s="122" t="s">
        <v>251</v>
      </c>
      <c r="C55" s="112" t="s">
        <v>621</v>
      </c>
      <c r="D55" s="144"/>
      <c r="E55" s="162" t="s">
        <v>295</v>
      </c>
      <c r="F55" s="275" t="s">
        <v>266</v>
      </c>
      <c r="G55" s="136">
        <v>17308</v>
      </c>
      <c r="H55" s="137">
        <v>120000</v>
      </c>
      <c r="I55" s="216">
        <v>1053.45</v>
      </c>
      <c r="J55" s="120"/>
      <c r="K55" s="120"/>
      <c r="L55" s="140" t="s">
        <v>21</v>
      </c>
      <c r="M55" s="140" t="s">
        <v>21</v>
      </c>
      <c r="N55" s="141" t="s">
        <v>27</v>
      </c>
      <c r="O55" s="169">
        <v>45869</v>
      </c>
      <c r="P55" s="119" t="s">
        <v>28</v>
      </c>
      <c r="Q55" s="200">
        <v>45905</v>
      </c>
      <c r="R55" s="119" t="s">
        <v>26</v>
      </c>
      <c r="S55" s="198">
        <v>45937</v>
      </c>
      <c r="T55" s="163" t="s">
        <v>25</v>
      </c>
      <c r="U55" s="163"/>
      <c r="V55" s="38" t="s">
        <v>22</v>
      </c>
      <c r="W55" s="120"/>
    </row>
    <row r="56" spans="1:23" ht="15.75">
      <c r="A56" s="122" t="s">
        <v>254</v>
      </c>
      <c r="B56" s="122" t="s">
        <v>257</v>
      </c>
      <c r="C56" s="112" t="s">
        <v>621</v>
      </c>
      <c r="D56" s="144" t="s">
        <v>684</v>
      </c>
      <c r="E56" s="135" t="s">
        <v>20</v>
      </c>
      <c r="F56" s="154" t="s">
        <v>265</v>
      </c>
      <c r="G56" s="136">
        <v>17308</v>
      </c>
      <c r="H56" s="137">
        <v>70000</v>
      </c>
      <c r="I56" s="215">
        <v>640.64</v>
      </c>
      <c r="J56" s="120"/>
      <c r="K56" s="120"/>
      <c r="L56" s="140" t="s">
        <v>21</v>
      </c>
      <c r="M56" s="140" t="s">
        <v>21</v>
      </c>
      <c r="N56" s="141" t="s">
        <v>27</v>
      </c>
      <c r="O56" s="169">
        <v>45870</v>
      </c>
      <c r="P56" s="119" t="s">
        <v>28</v>
      </c>
      <c r="Q56" s="200">
        <v>45901</v>
      </c>
      <c r="R56" s="119" t="s">
        <v>26</v>
      </c>
      <c r="S56" s="198">
        <v>45931</v>
      </c>
      <c r="T56" s="119" t="s">
        <v>25</v>
      </c>
      <c r="U56" s="158">
        <v>45964</v>
      </c>
      <c r="V56" s="38" t="s">
        <v>22</v>
      </c>
      <c r="W56" s="287"/>
    </row>
    <row r="57" spans="1:23" ht="15.75">
      <c r="A57" s="122" t="s">
        <v>256</v>
      </c>
      <c r="B57" s="122" t="s">
        <v>260</v>
      </c>
      <c r="C57" s="112" t="s">
        <v>621</v>
      </c>
      <c r="D57" s="144" t="s">
        <v>684</v>
      </c>
      <c r="E57" s="135" t="s">
        <v>20</v>
      </c>
      <c r="F57" s="227" t="s">
        <v>502</v>
      </c>
      <c r="G57" s="133">
        <v>24627</v>
      </c>
      <c r="H57" s="43">
        <v>190000</v>
      </c>
      <c r="I57" s="214">
        <v>931.08</v>
      </c>
      <c r="J57" s="120"/>
      <c r="K57" s="120"/>
      <c r="L57" s="38" t="s">
        <v>21</v>
      </c>
      <c r="M57" s="38" t="s">
        <v>21</v>
      </c>
      <c r="N57" s="119" t="s">
        <v>27</v>
      </c>
      <c r="O57" s="168">
        <v>45871</v>
      </c>
      <c r="P57" s="119" t="s">
        <v>28</v>
      </c>
      <c r="Q57" s="198">
        <v>45908</v>
      </c>
      <c r="R57" s="119" t="s">
        <v>26</v>
      </c>
      <c r="S57" s="198">
        <v>45944</v>
      </c>
      <c r="T57" s="119" t="s">
        <v>25</v>
      </c>
      <c r="U57" s="158">
        <v>45967</v>
      </c>
      <c r="V57" s="38" t="s">
        <v>22</v>
      </c>
      <c r="W57" s="120"/>
    </row>
    <row r="58" spans="1:23" ht="15.75">
      <c r="A58" s="122" t="s">
        <v>259</v>
      </c>
      <c r="B58" s="122" t="s">
        <v>261</v>
      </c>
      <c r="C58" s="112" t="s">
        <v>621</v>
      </c>
      <c r="D58" s="144" t="s">
        <v>684</v>
      </c>
      <c r="E58" s="32" t="s">
        <v>20</v>
      </c>
      <c r="F58" s="151" t="s">
        <v>271</v>
      </c>
      <c r="G58" s="133">
        <v>24627</v>
      </c>
      <c r="H58" s="43">
        <v>70000</v>
      </c>
      <c r="I58" s="212">
        <v>640.64</v>
      </c>
      <c r="J58" s="120"/>
      <c r="K58" s="120"/>
      <c r="L58" s="38" t="s">
        <v>21</v>
      </c>
      <c r="M58" s="38" t="s">
        <v>21</v>
      </c>
      <c r="N58" s="119" t="s">
        <v>27</v>
      </c>
      <c r="O58" s="168">
        <v>45871</v>
      </c>
      <c r="P58" s="119" t="s">
        <v>28</v>
      </c>
      <c r="Q58" s="198">
        <v>45905</v>
      </c>
      <c r="R58" s="119" t="s">
        <v>26</v>
      </c>
      <c r="S58" s="198">
        <v>45933</v>
      </c>
      <c r="T58" s="119" t="s">
        <v>25</v>
      </c>
      <c r="U58" s="158">
        <v>45968</v>
      </c>
      <c r="V58" s="38" t="s">
        <v>22</v>
      </c>
      <c r="W58" s="120"/>
    </row>
    <row r="59" spans="1:23" ht="15.75">
      <c r="A59" s="122" t="s">
        <v>262</v>
      </c>
      <c r="B59" s="122" t="s">
        <v>272</v>
      </c>
      <c r="C59" s="112" t="s">
        <v>621</v>
      </c>
      <c r="D59" s="144" t="s">
        <v>684</v>
      </c>
      <c r="E59" s="32" t="s">
        <v>20</v>
      </c>
      <c r="F59" s="151" t="s">
        <v>264</v>
      </c>
      <c r="G59" s="136">
        <v>17308</v>
      </c>
      <c r="H59" s="43">
        <v>25000</v>
      </c>
      <c r="I59" s="214">
        <v>496.05</v>
      </c>
      <c r="J59" s="120"/>
      <c r="K59" s="120"/>
      <c r="L59" s="38" t="s">
        <v>21</v>
      </c>
      <c r="M59" s="38" t="s">
        <v>21</v>
      </c>
      <c r="N59" s="119" t="s">
        <v>27</v>
      </c>
      <c r="O59" s="168">
        <v>45874</v>
      </c>
      <c r="P59" s="119" t="s">
        <v>28</v>
      </c>
      <c r="Q59" s="198">
        <v>45904</v>
      </c>
      <c r="R59" s="119" t="s">
        <v>26</v>
      </c>
      <c r="S59" s="198">
        <v>45937</v>
      </c>
      <c r="T59" s="119" t="s">
        <v>25</v>
      </c>
      <c r="U59" s="158">
        <v>45754</v>
      </c>
      <c r="V59" s="38" t="s">
        <v>22</v>
      </c>
      <c r="W59" s="287"/>
    </row>
    <row r="60" spans="1:23" ht="15.75">
      <c r="A60" s="122" t="s">
        <v>275</v>
      </c>
      <c r="B60" s="122" t="s">
        <v>276</v>
      </c>
      <c r="C60" s="112" t="s">
        <v>636</v>
      </c>
      <c r="D60" s="144" t="s">
        <v>684</v>
      </c>
      <c r="E60" s="32" t="s">
        <v>20</v>
      </c>
      <c r="F60" s="151" t="s">
        <v>273</v>
      </c>
      <c r="G60" s="110">
        <v>17308</v>
      </c>
      <c r="H60" s="43">
        <v>90000</v>
      </c>
      <c r="I60" s="213">
        <v>823.69</v>
      </c>
      <c r="J60" s="120"/>
      <c r="K60" s="120"/>
      <c r="L60" s="38" t="s">
        <v>21</v>
      </c>
      <c r="M60" s="38" t="s">
        <v>21</v>
      </c>
      <c r="N60" s="119" t="s">
        <v>27</v>
      </c>
      <c r="O60" s="168">
        <v>45875</v>
      </c>
      <c r="P60" s="119" t="s">
        <v>28</v>
      </c>
      <c r="Q60" s="198">
        <v>45903</v>
      </c>
      <c r="R60" s="119" t="s">
        <v>26</v>
      </c>
      <c r="S60" s="198">
        <v>45933</v>
      </c>
      <c r="T60" s="119" t="s">
        <v>25</v>
      </c>
      <c r="U60" s="158">
        <v>45754</v>
      </c>
      <c r="V60" s="38" t="s">
        <v>22</v>
      </c>
      <c r="W60" s="287"/>
    </row>
    <row r="61" spans="1:23" ht="15.75">
      <c r="A61" s="122" t="s">
        <v>277</v>
      </c>
      <c r="B61" s="122" t="s">
        <v>278</v>
      </c>
      <c r="C61" s="112" t="s">
        <v>636</v>
      </c>
      <c r="D61" s="144" t="s">
        <v>684</v>
      </c>
      <c r="E61" s="32" t="s">
        <v>20</v>
      </c>
      <c r="F61" s="151" t="s">
        <v>274</v>
      </c>
      <c r="G61" s="110">
        <v>17308</v>
      </c>
      <c r="H61" s="43">
        <v>120000</v>
      </c>
      <c r="I61" s="134">
        <v>1053.45</v>
      </c>
      <c r="J61" s="120"/>
      <c r="K61" s="120"/>
      <c r="L61" s="38" t="s">
        <v>21</v>
      </c>
      <c r="M61" s="38" t="s">
        <v>21</v>
      </c>
      <c r="N61" s="119" t="s">
        <v>27</v>
      </c>
      <c r="O61" s="168">
        <v>45876</v>
      </c>
      <c r="P61" s="119" t="s">
        <v>28</v>
      </c>
      <c r="Q61" s="198">
        <v>45910</v>
      </c>
      <c r="R61" s="119" t="s">
        <v>26</v>
      </c>
      <c r="S61" s="198">
        <v>45940</v>
      </c>
      <c r="T61" s="119" t="s">
        <v>25</v>
      </c>
      <c r="U61" s="158">
        <v>45975</v>
      </c>
      <c r="V61" s="38" t="s">
        <v>22</v>
      </c>
      <c r="W61" s="287"/>
    </row>
    <row r="62" spans="1:23" ht="15.75">
      <c r="A62" s="122" t="s">
        <v>280</v>
      </c>
      <c r="B62" s="122" t="s">
        <v>282</v>
      </c>
      <c r="C62" s="112" t="s">
        <v>636</v>
      </c>
      <c r="D62" s="144" t="s">
        <v>684</v>
      </c>
      <c r="E62" s="32" t="s">
        <v>20</v>
      </c>
      <c r="F62" s="151" t="s">
        <v>281</v>
      </c>
      <c r="G62" s="110">
        <v>17308</v>
      </c>
      <c r="H62" s="43">
        <v>200000</v>
      </c>
      <c r="I62" s="143">
        <v>1285.75</v>
      </c>
      <c r="J62" s="120"/>
      <c r="K62" s="120"/>
      <c r="L62" s="38" t="s">
        <v>21</v>
      </c>
      <c r="M62" s="38" t="s">
        <v>21</v>
      </c>
      <c r="N62" s="119" t="s">
        <v>27</v>
      </c>
      <c r="O62" s="168">
        <v>45880</v>
      </c>
      <c r="P62" s="119" t="s">
        <v>28</v>
      </c>
      <c r="Q62" s="198">
        <v>45910</v>
      </c>
      <c r="R62" s="119" t="s">
        <v>26</v>
      </c>
      <c r="S62" s="198">
        <v>45944</v>
      </c>
      <c r="T62" s="119" t="s">
        <v>25</v>
      </c>
      <c r="U62" s="158">
        <v>45971</v>
      </c>
      <c r="V62" s="38" t="s">
        <v>22</v>
      </c>
      <c r="W62" s="287"/>
    </row>
    <row r="63" spans="1:23" ht="15.75">
      <c r="A63" s="122" t="s">
        <v>286</v>
      </c>
      <c r="B63" s="122" t="s">
        <v>288</v>
      </c>
      <c r="C63" s="112" t="s">
        <v>621</v>
      </c>
      <c r="D63" s="144"/>
      <c r="E63" s="162" t="s">
        <v>295</v>
      </c>
      <c r="F63" s="188" t="s">
        <v>283</v>
      </c>
      <c r="G63" s="110">
        <v>17308</v>
      </c>
      <c r="H63" s="43">
        <v>160000</v>
      </c>
      <c r="I63" s="134">
        <v>1028.5999999999999</v>
      </c>
      <c r="J63" s="120"/>
      <c r="K63" s="120"/>
      <c r="L63" s="38" t="s">
        <v>21</v>
      </c>
      <c r="M63" s="38" t="s">
        <v>21</v>
      </c>
      <c r="N63" s="119" t="s">
        <v>27</v>
      </c>
      <c r="O63" s="168">
        <v>45881</v>
      </c>
      <c r="P63" s="119" t="s">
        <v>28</v>
      </c>
      <c r="Q63" s="198">
        <v>45910</v>
      </c>
      <c r="R63" s="119" t="s">
        <v>26</v>
      </c>
      <c r="S63" s="198">
        <v>45940</v>
      </c>
      <c r="T63" s="163" t="s">
        <v>25</v>
      </c>
      <c r="U63" s="163"/>
      <c r="V63" s="38" t="s">
        <v>22</v>
      </c>
      <c r="W63" s="120"/>
    </row>
    <row r="64" spans="1:23" ht="15.75">
      <c r="A64" s="122" t="s">
        <v>285</v>
      </c>
      <c r="B64" s="122" t="s">
        <v>289</v>
      </c>
      <c r="C64" s="112"/>
      <c r="D64" s="144"/>
      <c r="E64" s="162" t="s">
        <v>295</v>
      </c>
      <c r="F64" s="188" t="s">
        <v>401</v>
      </c>
      <c r="G64" s="110">
        <v>17308</v>
      </c>
      <c r="H64" s="43">
        <v>220000</v>
      </c>
      <c r="I64" s="134">
        <v>1078.0899999999999</v>
      </c>
      <c r="J64" s="120"/>
      <c r="K64" s="120"/>
      <c r="L64" s="38" t="s">
        <v>21</v>
      </c>
      <c r="M64" s="38" t="s">
        <v>21</v>
      </c>
      <c r="N64" s="119" t="s">
        <v>27</v>
      </c>
      <c r="O64" s="168">
        <v>45882</v>
      </c>
      <c r="P64" s="163" t="s">
        <v>28</v>
      </c>
      <c r="Q64" s="189" t="s">
        <v>403</v>
      </c>
      <c r="R64" s="163" t="s">
        <v>26</v>
      </c>
      <c r="S64" s="163"/>
      <c r="T64" s="163" t="s">
        <v>25</v>
      </c>
      <c r="U64" s="163"/>
      <c r="V64" s="38" t="s">
        <v>22</v>
      </c>
      <c r="W64" s="120"/>
    </row>
    <row r="65" spans="1:23" ht="15.75">
      <c r="A65" s="122" t="s">
        <v>285</v>
      </c>
      <c r="B65" s="122" t="s">
        <v>290</v>
      </c>
      <c r="C65" s="112"/>
      <c r="D65" s="144"/>
      <c r="E65" s="162" t="s">
        <v>295</v>
      </c>
      <c r="F65" s="188" t="s">
        <v>402</v>
      </c>
      <c r="G65" s="110">
        <v>17308</v>
      </c>
      <c r="H65" s="43">
        <v>170000</v>
      </c>
      <c r="I65" s="134">
        <v>1092.8900000000001</v>
      </c>
      <c r="J65" s="120"/>
      <c r="K65" s="120"/>
      <c r="L65" s="38" t="s">
        <v>21</v>
      </c>
      <c r="M65" s="38" t="s">
        <v>21</v>
      </c>
      <c r="N65" s="119" t="s">
        <v>27</v>
      </c>
      <c r="O65" s="168">
        <v>45882</v>
      </c>
      <c r="P65" s="163" t="s">
        <v>28</v>
      </c>
      <c r="Q65" s="189" t="s">
        <v>403</v>
      </c>
      <c r="R65" s="163" t="s">
        <v>26</v>
      </c>
      <c r="S65" s="163"/>
      <c r="T65" s="163" t="s">
        <v>25</v>
      </c>
      <c r="U65" s="163"/>
      <c r="V65" s="38" t="s">
        <v>22</v>
      </c>
      <c r="W65" s="120"/>
    </row>
    <row r="66" spans="1:23" ht="15.75">
      <c r="A66" s="122" t="s">
        <v>293</v>
      </c>
      <c r="B66" s="122" t="s">
        <v>297</v>
      </c>
      <c r="C66" s="112" t="s">
        <v>621</v>
      </c>
      <c r="D66" s="144" t="s">
        <v>684</v>
      </c>
      <c r="E66" s="32" t="s">
        <v>20</v>
      </c>
      <c r="F66" s="151" t="s">
        <v>302</v>
      </c>
      <c r="G66" s="110">
        <v>17308</v>
      </c>
      <c r="H66" s="43">
        <v>90000</v>
      </c>
      <c r="I66" s="34">
        <v>653.95000000000005</v>
      </c>
      <c r="J66" s="120"/>
      <c r="K66" s="120"/>
      <c r="L66" s="38" t="s">
        <v>21</v>
      </c>
      <c r="M66" s="38" t="s">
        <v>21</v>
      </c>
      <c r="N66" s="38" t="s">
        <v>21</v>
      </c>
      <c r="O66" s="38" t="s">
        <v>21</v>
      </c>
      <c r="P66" s="119" t="s">
        <v>27</v>
      </c>
      <c r="Q66" s="36">
        <v>45887</v>
      </c>
      <c r="R66" s="119" t="s">
        <v>28</v>
      </c>
      <c r="S66" s="198">
        <v>45922</v>
      </c>
      <c r="T66" s="119" t="s">
        <v>26</v>
      </c>
      <c r="U66" s="158">
        <v>45950</v>
      </c>
      <c r="V66" s="38" t="s">
        <v>25</v>
      </c>
      <c r="W66" s="287"/>
    </row>
    <row r="67" spans="1:23" ht="15.75">
      <c r="A67" s="122" t="s">
        <v>294</v>
      </c>
      <c r="B67" s="122" t="s">
        <v>296</v>
      </c>
      <c r="C67" s="112" t="s">
        <v>621</v>
      </c>
      <c r="D67" s="144"/>
      <c r="E67" s="162" t="s">
        <v>295</v>
      </c>
      <c r="F67" s="275" t="s">
        <v>301</v>
      </c>
      <c r="G67" s="136">
        <v>17308</v>
      </c>
      <c r="H67" s="137">
        <v>440000</v>
      </c>
      <c r="I67" s="157">
        <v>2671.24</v>
      </c>
      <c r="J67" s="120"/>
      <c r="K67" s="120"/>
      <c r="L67" s="140" t="s">
        <v>21</v>
      </c>
      <c r="M67" s="140" t="s">
        <v>21</v>
      </c>
      <c r="N67" s="140" t="s">
        <v>21</v>
      </c>
      <c r="O67" s="38" t="s">
        <v>21</v>
      </c>
      <c r="P67" s="119" t="s">
        <v>27</v>
      </c>
      <c r="Q67" s="36">
        <v>45884</v>
      </c>
      <c r="R67" s="119" t="s">
        <v>28</v>
      </c>
      <c r="S67" s="198">
        <v>45944</v>
      </c>
      <c r="T67" s="163" t="s">
        <v>26</v>
      </c>
      <c r="U67" s="163"/>
      <c r="V67" s="38" t="s">
        <v>25</v>
      </c>
      <c r="W67" s="120"/>
    </row>
    <row r="68" spans="1:23" ht="15.75">
      <c r="A68" s="122" t="s">
        <v>303</v>
      </c>
      <c r="B68" s="122" t="s">
        <v>309</v>
      </c>
      <c r="C68" s="112" t="s">
        <v>621</v>
      </c>
      <c r="D68" s="144" t="s">
        <v>684</v>
      </c>
      <c r="E68" s="32" t="s">
        <v>20</v>
      </c>
      <c r="F68" s="151" t="s">
        <v>300</v>
      </c>
      <c r="G68" s="110">
        <v>17308</v>
      </c>
      <c r="H68" s="43">
        <v>200000</v>
      </c>
      <c r="I68" s="143">
        <v>1285.75</v>
      </c>
      <c r="J68" s="120"/>
      <c r="K68" s="120"/>
      <c r="L68" s="38" t="s">
        <v>21</v>
      </c>
      <c r="M68" s="38" t="s">
        <v>21</v>
      </c>
      <c r="N68" s="38" t="s">
        <v>21</v>
      </c>
      <c r="O68" s="38" t="s">
        <v>21</v>
      </c>
      <c r="P68" s="119" t="s">
        <v>27</v>
      </c>
      <c r="Q68" s="36">
        <v>45889</v>
      </c>
      <c r="R68" s="119" t="s">
        <v>28</v>
      </c>
      <c r="S68" s="198">
        <v>45940</v>
      </c>
      <c r="T68" s="119" t="s">
        <v>26</v>
      </c>
      <c r="U68" s="158">
        <v>45971</v>
      </c>
      <c r="V68" s="38" t="s">
        <v>25</v>
      </c>
      <c r="W68" s="287"/>
    </row>
    <row r="69" spans="1:23" ht="15.75">
      <c r="A69" s="122" t="s">
        <v>305</v>
      </c>
      <c r="B69" s="122" t="s">
        <v>310</v>
      </c>
      <c r="C69" s="112"/>
      <c r="D69" s="144"/>
      <c r="E69" s="162" t="s">
        <v>295</v>
      </c>
      <c r="F69" s="188" t="s">
        <v>307</v>
      </c>
      <c r="G69" s="110">
        <v>17308</v>
      </c>
      <c r="H69" s="43">
        <v>200000</v>
      </c>
      <c r="I69" s="143">
        <v>1285.75</v>
      </c>
      <c r="J69" s="120"/>
      <c r="K69" s="120"/>
      <c r="L69" s="38" t="s">
        <v>21</v>
      </c>
      <c r="M69" s="38" t="s">
        <v>21</v>
      </c>
      <c r="N69" s="38" t="s">
        <v>21</v>
      </c>
      <c r="O69" s="38" t="s">
        <v>21</v>
      </c>
      <c r="P69" s="119" t="s">
        <v>27</v>
      </c>
      <c r="Q69" s="36">
        <v>45890</v>
      </c>
      <c r="R69" s="163" t="s">
        <v>28</v>
      </c>
      <c r="S69" s="163"/>
      <c r="T69" s="163" t="s">
        <v>26</v>
      </c>
      <c r="U69" s="163"/>
      <c r="V69" s="38" t="s">
        <v>25</v>
      </c>
      <c r="W69" s="120"/>
    </row>
    <row r="70" spans="1:23" ht="15.75">
      <c r="A70" s="167" t="s">
        <v>308</v>
      </c>
      <c r="B70" s="122" t="s">
        <v>311</v>
      </c>
      <c r="C70" s="112"/>
      <c r="D70" s="144"/>
      <c r="E70" s="162" t="s">
        <v>295</v>
      </c>
      <c r="F70" s="188" t="s">
        <v>306</v>
      </c>
      <c r="G70" s="110">
        <v>17308</v>
      </c>
      <c r="H70" s="43">
        <v>150000</v>
      </c>
      <c r="I70" s="143">
        <v>964.31</v>
      </c>
      <c r="J70" s="120"/>
      <c r="K70" s="120"/>
      <c r="L70" s="38" t="s">
        <v>21</v>
      </c>
      <c r="M70" s="38" t="s">
        <v>21</v>
      </c>
      <c r="N70" s="38" t="s">
        <v>21</v>
      </c>
      <c r="O70" s="38" t="s">
        <v>21</v>
      </c>
      <c r="P70" s="119" t="s">
        <v>27</v>
      </c>
      <c r="Q70" s="36">
        <v>45890</v>
      </c>
      <c r="R70" s="163" t="s">
        <v>28</v>
      </c>
      <c r="S70" s="226"/>
      <c r="T70" s="163" t="s">
        <v>26</v>
      </c>
      <c r="U70" s="163"/>
      <c r="V70" s="38" t="s">
        <v>25</v>
      </c>
      <c r="W70" s="120"/>
    </row>
    <row r="71" spans="1:23" ht="15.75">
      <c r="A71" s="122" t="s">
        <v>314</v>
      </c>
      <c r="B71" s="122" t="s">
        <v>315</v>
      </c>
      <c r="C71" s="112" t="s">
        <v>621</v>
      </c>
      <c r="D71" s="144" t="s">
        <v>684</v>
      </c>
      <c r="E71" s="163" t="s">
        <v>686</v>
      </c>
      <c r="F71" s="188" t="s">
        <v>313</v>
      </c>
      <c r="G71" s="110">
        <v>17308</v>
      </c>
      <c r="H71" s="43">
        <v>100000</v>
      </c>
      <c r="I71" s="34">
        <v>915.21</v>
      </c>
      <c r="J71" s="120"/>
      <c r="K71" s="120"/>
      <c r="L71" s="38" t="s">
        <v>21</v>
      </c>
      <c r="M71" s="38" t="s">
        <v>21</v>
      </c>
      <c r="N71" s="38" t="s">
        <v>21</v>
      </c>
      <c r="O71" s="38" t="s">
        <v>21</v>
      </c>
      <c r="P71" s="119" t="s">
        <v>27</v>
      </c>
      <c r="Q71" s="36">
        <v>45895</v>
      </c>
      <c r="R71" s="119" t="s">
        <v>28</v>
      </c>
      <c r="S71" s="198">
        <v>45940</v>
      </c>
      <c r="T71" s="38" t="s">
        <v>26</v>
      </c>
      <c r="U71" s="38"/>
      <c r="V71" s="38" t="s">
        <v>25</v>
      </c>
      <c r="W71" s="287"/>
    </row>
    <row r="72" spans="1:23" ht="15.75">
      <c r="A72" s="122" t="s">
        <v>317</v>
      </c>
      <c r="B72" s="122" t="s">
        <v>327</v>
      </c>
      <c r="C72" s="112"/>
      <c r="D72" s="194"/>
      <c r="E72" s="162" t="s">
        <v>295</v>
      </c>
      <c r="F72" s="188" t="s">
        <v>318</v>
      </c>
      <c r="G72" s="110">
        <v>17308</v>
      </c>
      <c r="H72" s="43">
        <v>90000</v>
      </c>
      <c r="I72" s="143">
        <v>823.69</v>
      </c>
      <c r="J72" s="120"/>
      <c r="K72" s="120"/>
      <c r="L72" s="38" t="s">
        <v>21</v>
      </c>
      <c r="M72" s="38" t="s">
        <v>21</v>
      </c>
      <c r="N72" s="38" t="s">
        <v>21</v>
      </c>
      <c r="O72" s="38" t="s">
        <v>21</v>
      </c>
      <c r="P72" s="119" t="s">
        <v>27</v>
      </c>
      <c r="Q72" s="36">
        <v>45899</v>
      </c>
      <c r="R72" s="163" t="s">
        <v>28</v>
      </c>
      <c r="S72" s="163"/>
      <c r="T72" s="163" t="s">
        <v>26</v>
      </c>
      <c r="U72" s="163"/>
      <c r="V72" s="38" t="s">
        <v>25</v>
      </c>
      <c r="W72" s="120"/>
    </row>
    <row r="73" spans="1:23" ht="15.75">
      <c r="A73" s="122" t="s">
        <v>329</v>
      </c>
      <c r="B73" s="122" t="s">
        <v>328</v>
      </c>
      <c r="C73" s="112" t="s">
        <v>621</v>
      </c>
      <c r="D73" s="144" t="s">
        <v>684</v>
      </c>
      <c r="E73" s="32" t="s">
        <v>20</v>
      </c>
      <c r="F73" s="151" t="s">
        <v>330</v>
      </c>
      <c r="G73" s="110">
        <v>17308</v>
      </c>
      <c r="H73" s="43">
        <v>180000</v>
      </c>
      <c r="I73" s="143">
        <v>1157.18</v>
      </c>
      <c r="J73" s="120"/>
      <c r="K73" s="120"/>
      <c r="L73" s="38" t="s">
        <v>21</v>
      </c>
      <c r="M73" s="38" t="s">
        <v>21</v>
      </c>
      <c r="N73" s="38" t="s">
        <v>21</v>
      </c>
      <c r="O73" s="38" t="s">
        <v>21</v>
      </c>
      <c r="P73" s="119" t="s">
        <v>27</v>
      </c>
      <c r="Q73" s="36">
        <v>45899</v>
      </c>
      <c r="R73" s="119" t="s">
        <v>28</v>
      </c>
      <c r="S73" s="198">
        <v>45939</v>
      </c>
      <c r="T73" s="119" t="s">
        <v>26</v>
      </c>
      <c r="U73" s="158">
        <v>45965</v>
      </c>
      <c r="V73" s="38" t="s">
        <v>25</v>
      </c>
      <c r="W73" s="287"/>
    </row>
    <row r="74" spans="1:23" ht="15.75">
      <c r="A74" s="122" t="s">
        <v>337</v>
      </c>
      <c r="B74" s="122" t="s">
        <v>338</v>
      </c>
      <c r="C74" s="112"/>
      <c r="D74" s="144"/>
      <c r="E74" s="162" t="s">
        <v>295</v>
      </c>
      <c r="F74" s="188" t="s">
        <v>339</v>
      </c>
      <c r="G74" s="133">
        <v>24627</v>
      </c>
      <c r="H74" s="43">
        <v>150000</v>
      </c>
      <c r="I74" s="143">
        <v>964.31</v>
      </c>
      <c r="J74" s="120"/>
      <c r="K74" s="120"/>
      <c r="L74" s="38" t="s">
        <v>21</v>
      </c>
      <c r="M74" s="38" t="s">
        <v>21</v>
      </c>
      <c r="N74" s="38" t="s">
        <v>21</v>
      </c>
      <c r="O74" s="38" t="s">
        <v>21</v>
      </c>
      <c r="P74" s="119" t="s">
        <v>27</v>
      </c>
      <c r="Q74" s="36">
        <v>45899</v>
      </c>
      <c r="R74" s="163" t="s">
        <v>28</v>
      </c>
      <c r="S74" s="163"/>
      <c r="T74" s="163" t="s">
        <v>26</v>
      </c>
      <c r="U74" s="163"/>
      <c r="V74" s="38" t="s">
        <v>25</v>
      </c>
      <c r="W74" s="120"/>
    </row>
    <row r="75" spans="1:23" ht="15.75">
      <c r="A75" s="122" t="s">
        <v>331</v>
      </c>
      <c r="B75" s="122" t="s">
        <v>332</v>
      </c>
      <c r="C75" s="112" t="s">
        <v>621</v>
      </c>
      <c r="D75" s="144" t="s">
        <v>684</v>
      </c>
      <c r="E75" s="32" t="s">
        <v>20</v>
      </c>
      <c r="F75" s="151" t="s">
        <v>333</v>
      </c>
      <c r="G75" s="110">
        <v>17308</v>
      </c>
      <c r="H75" s="43">
        <v>70000</v>
      </c>
      <c r="I75" s="34">
        <v>640.64</v>
      </c>
      <c r="J75" s="120"/>
      <c r="K75" s="120"/>
      <c r="L75" s="38" t="s">
        <v>21</v>
      </c>
      <c r="M75" s="38" t="s">
        <v>21</v>
      </c>
      <c r="N75" s="38" t="s">
        <v>21</v>
      </c>
      <c r="O75" s="38" t="s">
        <v>21</v>
      </c>
      <c r="P75" s="119" t="s">
        <v>27</v>
      </c>
      <c r="Q75" s="36">
        <v>45900</v>
      </c>
      <c r="R75" s="119" t="s">
        <v>28</v>
      </c>
      <c r="S75" s="198">
        <v>45937</v>
      </c>
      <c r="T75" s="119" t="s">
        <v>26</v>
      </c>
      <c r="U75" s="158">
        <v>45966</v>
      </c>
      <c r="V75" s="38" t="s">
        <v>25</v>
      </c>
      <c r="W75" s="287"/>
    </row>
    <row r="76" spans="1:23" ht="15.75">
      <c r="A76" s="122" t="s">
        <v>334</v>
      </c>
      <c r="B76" s="122" t="s">
        <v>483</v>
      </c>
      <c r="C76" s="112" t="s">
        <v>621</v>
      </c>
      <c r="D76" s="144" t="s">
        <v>684</v>
      </c>
      <c r="E76" s="32" t="s">
        <v>20</v>
      </c>
      <c r="F76" s="151" t="s">
        <v>335</v>
      </c>
      <c r="G76" s="110">
        <v>17308</v>
      </c>
      <c r="H76" s="43">
        <v>140000</v>
      </c>
      <c r="I76" s="34">
        <v>900.03</v>
      </c>
      <c r="J76" s="120"/>
      <c r="K76" s="120"/>
      <c r="L76" s="38" t="s">
        <v>21</v>
      </c>
      <c r="M76" s="38" t="s">
        <v>21</v>
      </c>
      <c r="N76" s="38" t="s">
        <v>21</v>
      </c>
      <c r="O76" s="38" t="s">
        <v>21</v>
      </c>
      <c r="P76" s="38" t="s">
        <v>21</v>
      </c>
      <c r="Q76" s="38" t="s">
        <v>21</v>
      </c>
      <c r="R76" s="119" t="s">
        <v>27</v>
      </c>
      <c r="S76" s="36">
        <v>45922</v>
      </c>
      <c r="T76" s="119" t="s">
        <v>28</v>
      </c>
      <c r="U76" s="158">
        <v>45975</v>
      </c>
      <c r="V76" s="38" t="s">
        <v>26</v>
      </c>
      <c r="W76" s="287"/>
    </row>
    <row r="77" spans="1:23" ht="15.75">
      <c r="A77" s="122" t="s">
        <v>336</v>
      </c>
      <c r="B77" s="122" t="s">
        <v>343</v>
      </c>
      <c r="C77" s="112" t="s">
        <v>636</v>
      </c>
      <c r="D77" s="144" t="s">
        <v>684</v>
      </c>
      <c r="E77" s="32" t="s">
        <v>20</v>
      </c>
      <c r="F77" s="151" t="s">
        <v>326</v>
      </c>
      <c r="G77" s="110">
        <v>17308</v>
      </c>
      <c r="H77" s="43">
        <v>60000</v>
      </c>
      <c r="I77" s="134">
        <v>1090.1300000000001</v>
      </c>
      <c r="J77" s="120"/>
      <c r="K77" s="120"/>
      <c r="L77" s="38" t="s">
        <v>21</v>
      </c>
      <c r="M77" s="38" t="s">
        <v>21</v>
      </c>
      <c r="N77" s="38" t="s">
        <v>21</v>
      </c>
      <c r="O77" s="38" t="s">
        <v>21</v>
      </c>
      <c r="P77" s="119" t="s">
        <v>27</v>
      </c>
      <c r="Q77" s="36">
        <v>45902</v>
      </c>
      <c r="R77" s="119" t="s">
        <v>28</v>
      </c>
      <c r="S77" s="198">
        <v>45930</v>
      </c>
      <c r="T77" s="119" t="s">
        <v>26</v>
      </c>
      <c r="U77" s="158">
        <v>45961</v>
      </c>
      <c r="V77" s="38" t="s">
        <v>25</v>
      </c>
      <c r="W77" s="287"/>
    </row>
    <row r="78" spans="1:23" ht="15.75">
      <c r="A78" s="122" t="s">
        <v>342</v>
      </c>
      <c r="B78" s="122" t="s">
        <v>348</v>
      </c>
      <c r="C78" s="112" t="s">
        <v>621</v>
      </c>
      <c r="D78" s="144" t="s">
        <v>684</v>
      </c>
      <c r="E78" s="32" t="s">
        <v>20</v>
      </c>
      <c r="F78" s="151" t="s">
        <v>341</v>
      </c>
      <c r="G78" s="110">
        <v>17308</v>
      </c>
      <c r="H78" s="43">
        <v>120000</v>
      </c>
      <c r="I78" s="143">
        <v>771.45</v>
      </c>
      <c r="J78" s="120"/>
      <c r="K78" s="120"/>
      <c r="L78" s="38" t="s">
        <v>21</v>
      </c>
      <c r="M78" s="38" t="s">
        <v>21</v>
      </c>
      <c r="N78" s="38" t="s">
        <v>21</v>
      </c>
      <c r="O78" s="38" t="s">
        <v>21</v>
      </c>
      <c r="P78" s="119" t="s">
        <v>27</v>
      </c>
      <c r="Q78" s="36">
        <v>45904</v>
      </c>
      <c r="R78" s="119" t="s">
        <v>28</v>
      </c>
      <c r="S78" s="198">
        <v>45943</v>
      </c>
      <c r="T78" s="119" t="s">
        <v>26</v>
      </c>
      <c r="U78" s="158">
        <v>45975</v>
      </c>
      <c r="V78" s="38" t="s">
        <v>25</v>
      </c>
      <c r="W78" s="287"/>
    </row>
    <row r="79" spans="1:23" ht="15.75">
      <c r="A79" s="122" t="s">
        <v>346</v>
      </c>
      <c r="B79" s="122" t="s">
        <v>347</v>
      </c>
      <c r="C79" s="112" t="s">
        <v>621</v>
      </c>
      <c r="D79" s="144" t="s">
        <v>684</v>
      </c>
      <c r="E79" s="32" t="s">
        <v>20</v>
      </c>
      <c r="F79" s="151" t="s">
        <v>345</v>
      </c>
      <c r="G79" s="110">
        <v>17308</v>
      </c>
      <c r="H79" s="43">
        <v>70000</v>
      </c>
      <c r="I79" s="34">
        <v>640.64</v>
      </c>
      <c r="J79" s="120"/>
      <c r="K79" s="120"/>
      <c r="L79" s="38" t="s">
        <v>21</v>
      </c>
      <c r="M79" s="38" t="s">
        <v>21</v>
      </c>
      <c r="N79" s="38" t="s">
        <v>21</v>
      </c>
      <c r="O79" s="38" t="s">
        <v>21</v>
      </c>
      <c r="P79" s="119" t="s">
        <v>27</v>
      </c>
      <c r="Q79" s="36">
        <v>45904</v>
      </c>
      <c r="R79" s="119" t="s">
        <v>28</v>
      </c>
      <c r="S79" s="198">
        <v>45930</v>
      </c>
      <c r="T79" s="119" t="s">
        <v>26</v>
      </c>
      <c r="U79" s="158">
        <v>45961</v>
      </c>
      <c r="V79" s="38" t="s">
        <v>25</v>
      </c>
      <c r="W79" s="287"/>
    </row>
    <row r="80" spans="1:23" ht="15.75">
      <c r="A80" s="122" t="s">
        <v>350</v>
      </c>
      <c r="B80" s="122" t="s">
        <v>353</v>
      </c>
      <c r="C80" s="112" t="s">
        <v>621</v>
      </c>
      <c r="D80" s="144" t="s">
        <v>684</v>
      </c>
      <c r="E80" s="32" t="s">
        <v>20</v>
      </c>
      <c r="F80" s="151" t="s">
        <v>351</v>
      </c>
      <c r="G80" s="110">
        <v>17308</v>
      </c>
      <c r="H80" s="43">
        <v>110000</v>
      </c>
      <c r="I80" s="34">
        <v>965.66</v>
      </c>
      <c r="J80" s="120"/>
      <c r="K80" s="120"/>
      <c r="L80" s="38" t="s">
        <v>21</v>
      </c>
      <c r="M80" s="38" t="s">
        <v>21</v>
      </c>
      <c r="N80" s="38" t="s">
        <v>21</v>
      </c>
      <c r="O80" s="38" t="s">
        <v>21</v>
      </c>
      <c r="P80" s="119" t="s">
        <v>27</v>
      </c>
      <c r="Q80" s="36">
        <v>45908</v>
      </c>
      <c r="R80" s="145" t="s">
        <v>28</v>
      </c>
      <c r="S80" s="198">
        <v>45930</v>
      </c>
      <c r="T80" s="119" t="s">
        <v>26</v>
      </c>
      <c r="U80" s="158">
        <v>45961</v>
      </c>
      <c r="V80" s="38" t="s">
        <v>25</v>
      </c>
      <c r="W80" s="287"/>
    </row>
    <row r="81" spans="1:23" ht="15.75">
      <c r="A81" s="122" t="s">
        <v>354</v>
      </c>
      <c r="B81" s="122" t="s">
        <v>355</v>
      </c>
      <c r="C81" s="112" t="s">
        <v>621</v>
      </c>
      <c r="D81" s="144" t="s">
        <v>684</v>
      </c>
      <c r="E81" s="32" t="s">
        <v>20</v>
      </c>
      <c r="F81" s="154" t="s">
        <v>352</v>
      </c>
      <c r="G81" s="136">
        <v>17308</v>
      </c>
      <c r="H81" s="137">
        <v>110000</v>
      </c>
      <c r="I81" s="138">
        <v>965.66</v>
      </c>
      <c r="J81" s="120"/>
      <c r="K81" s="120"/>
      <c r="L81" s="140" t="s">
        <v>21</v>
      </c>
      <c r="M81" s="140" t="s">
        <v>21</v>
      </c>
      <c r="N81" s="140" t="s">
        <v>21</v>
      </c>
      <c r="O81" s="140" t="s">
        <v>21</v>
      </c>
      <c r="P81" s="141" t="s">
        <v>27</v>
      </c>
      <c r="Q81" s="201">
        <v>45909</v>
      </c>
      <c r="R81" s="141" t="s">
        <v>28</v>
      </c>
      <c r="S81" s="200">
        <v>45944</v>
      </c>
      <c r="T81" s="141" t="s">
        <v>26</v>
      </c>
      <c r="U81" s="273">
        <v>45974</v>
      </c>
      <c r="V81" s="140" t="s">
        <v>25</v>
      </c>
      <c r="W81" s="287"/>
    </row>
    <row r="82" spans="1:23" ht="15.75">
      <c r="A82" s="122" t="s">
        <v>363</v>
      </c>
      <c r="B82" s="122" t="s">
        <v>364</v>
      </c>
      <c r="C82" s="112" t="s">
        <v>621</v>
      </c>
      <c r="D82" s="144" t="s">
        <v>684</v>
      </c>
      <c r="E82" s="32" t="s">
        <v>20</v>
      </c>
      <c r="F82" s="151" t="s">
        <v>365</v>
      </c>
      <c r="G82" s="110">
        <v>17308</v>
      </c>
      <c r="H82" s="43">
        <v>110000</v>
      </c>
      <c r="I82" s="34">
        <v>965.66</v>
      </c>
      <c r="J82" s="120"/>
      <c r="K82" s="120"/>
      <c r="L82" s="38" t="s">
        <v>21</v>
      </c>
      <c r="M82" s="38" t="s">
        <v>21</v>
      </c>
      <c r="N82" s="38" t="s">
        <v>21</v>
      </c>
      <c r="O82" s="38" t="s">
        <v>21</v>
      </c>
      <c r="P82" s="119" t="s">
        <v>27</v>
      </c>
      <c r="Q82" s="36">
        <v>45909</v>
      </c>
      <c r="R82" s="141" t="s">
        <v>28</v>
      </c>
      <c r="S82" s="200">
        <v>45944</v>
      </c>
      <c r="T82" s="119" t="s">
        <v>26</v>
      </c>
      <c r="U82" s="158">
        <v>45975</v>
      </c>
      <c r="V82" s="38" t="s">
        <v>25</v>
      </c>
      <c r="W82" s="287"/>
    </row>
    <row r="83" spans="1:23" ht="15.75">
      <c r="A83" s="122" t="s">
        <v>366</v>
      </c>
      <c r="B83" s="122" t="s">
        <v>380</v>
      </c>
      <c r="C83" s="112" t="s">
        <v>621</v>
      </c>
      <c r="D83" s="144" t="s">
        <v>684</v>
      </c>
      <c r="E83" s="32" t="s">
        <v>20</v>
      </c>
      <c r="F83" s="151" t="s">
        <v>362</v>
      </c>
      <c r="G83" s="110">
        <v>17308</v>
      </c>
      <c r="H83" s="218">
        <v>101000</v>
      </c>
      <c r="I83" s="34">
        <v>649.30999999999995</v>
      </c>
      <c r="J83" s="120"/>
      <c r="K83" s="120"/>
      <c r="L83" s="38" t="s">
        <v>21</v>
      </c>
      <c r="M83" s="38" t="s">
        <v>21</v>
      </c>
      <c r="N83" s="38" t="s">
        <v>21</v>
      </c>
      <c r="O83" s="38" t="s">
        <v>21</v>
      </c>
      <c r="P83" s="119" t="s">
        <v>27</v>
      </c>
      <c r="Q83" s="36">
        <v>45911</v>
      </c>
      <c r="R83" s="119" t="s">
        <v>28</v>
      </c>
      <c r="S83" s="198">
        <v>45938</v>
      </c>
      <c r="T83" s="119" t="s">
        <v>26</v>
      </c>
      <c r="U83" s="158">
        <v>45966</v>
      </c>
      <c r="V83" s="38" t="s">
        <v>25</v>
      </c>
      <c r="W83" s="287"/>
    </row>
    <row r="84" spans="1:23" ht="15.75">
      <c r="A84" s="122" t="s">
        <v>372</v>
      </c>
      <c r="B84" s="122" t="s">
        <v>373</v>
      </c>
      <c r="C84" s="112" t="s">
        <v>621</v>
      </c>
      <c r="D84" s="144" t="s">
        <v>684</v>
      </c>
      <c r="E84" s="32" t="s">
        <v>20</v>
      </c>
      <c r="F84" s="33" t="s">
        <v>385</v>
      </c>
      <c r="G84" s="110">
        <v>17308</v>
      </c>
      <c r="H84" s="43">
        <v>120000</v>
      </c>
      <c r="I84" s="143">
        <v>771.45</v>
      </c>
      <c r="J84" s="120"/>
      <c r="K84" s="120"/>
      <c r="L84" s="38" t="s">
        <v>21</v>
      </c>
      <c r="M84" s="38" t="s">
        <v>21</v>
      </c>
      <c r="N84" s="38" t="s">
        <v>21</v>
      </c>
      <c r="O84" s="38" t="s">
        <v>21</v>
      </c>
      <c r="P84" s="119" t="s">
        <v>27</v>
      </c>
      <c r="Q84" s="36">
        <v>45912</v>
      </c>
      <c r="R84" s="119" t="s">
        <v>28</v>
      </c>
      <c r="S84" s="198">
        <v>45936</v>
      </c>
      <c r="T84" s="119" t="s">
        <v>26</v>
      </c>
      <c r="U84" s="158">
        <v>45971</v>
      </c>
      <c r="V84" s="38" t="s">
        <v>25</v>
      </c>
      <c r="W84" s="287"/>
    </row>
    <row r="85" spans="1:23" ht="15.75">
      <c r="A85" s="122" t="s">
        <v>374</v>
      </c>
      <c r="B85" s="122" t="s">
        <v>375</v>
      </c>
      <c r="C85" s="112" t="s">
        <v>621</v>
      </c>
      <c r="D85" s="144" t="s">
        <v>684</v>
      </c>
      <c r="E85" s="32" t="s">
        <v>20</v>
      </c>
      <c r="F85" s="151" t="s">
        <v>384</v>
      </c>
      <c r="G85" s="110">
        <v>17308</v>
      </c>
      <c r="H85" s="43">
        <v>60000</v>
      </c>
      <c r="I85" s="184">
        <v>549.12</v>
      </c>
      <c r="J85" s="120"/>
      <c r="K85" s="120"/>
      <c r="L85" s="38" t="s">
        <v>21</v>
      </c>
      <c r="M85" s="38" t="s">
        <v>21</v>
      </c>
      <c r="N85" s="38" t="s">
        <v>21</v>
      </c>
      <c r="O85" s="38" t="s">
        <v>21</v>
      </c>
      <c r="P85" s="119" t="s">
        <v>27</v>
      </c>
      <c r="Q85" s="36">
        <v>45912</v>
      </c>
      <c r="R85" s="119" t="s">
        <v>28</v>
      </c>
      <c r="S85" s="198">
        <v>45933</v>
      </c>
      <c r="T85" s="119" t="s">
        <v>26</v>
      </c>
      <c r="U85" s="158">
        <v>45965</v>
      </c>
      <c r="V85" s="38" t="s">
        <v>25</v>
      </c>
      <c r="W85" s="287"/>
    </row>
    <row r="86" spans="1:23" ht="15.75">
      <c r="A86" s="122" t="s">
        <v>376</v>
      </c>
      <c r="B86" s="122" t="s">
        <v>377</v>
      </c>
      <c r="C86" s="112" t="s">
        <v>621</v>
      </c>
      <c r="D86" s="144"/>
      <c r="E86" s="162" t="s">
        <v>295</v>
      </c>
      <c r="F86" s="275" t="s">
        <v>383</v>
      </c>
      <c r="G86" s="136">
        <v>17308</v>
      </c>
      <c r="H86" s="137">
        <v>70000</v>
      </c>
      <c r="I86" s="138">
        <v>640.64</v>
      </c>
      <c r="J86" s="120"/>
      <c r="K86" s="120"/>
      <c r="L86" s="140" t="s">
        <v>21</v>
      </c>
      <c r="M86" s="38" t="s">
        <v>21</v>
      </c>
      <c r="N86" s="38" t="s">
        <v>21</v>
      </c>
      <c r="O86" s="38" t="s">
        <v>21</v>
      </c>
      <c r="P86" s="119" t="s">
        <v>27</v>
      </c>
      <c r="Q86" s="36">
        <v>45912</v>
      </c>
      <c r="R86" s="119" t="s">
        <v>28</v>
      </c>
      <c r="S86" s="198">
        <v>45943</v>
      </c>
      <c r="T86" s="163" t="s">
        <v>26</v>
      </c>
      <c r="U86" s="163"/>
      <c r="V86" s="38" t="s">
        <v>25</v>
      </c>
      <c r="W86" s="120"/>
    </row>
    <row r="87" spans="1:23" ht="15.75">
      <c r="A87" s="122" t="s">
        <v>378</v>
      </c>
      <c r="B87" s="122" t="s">
        <v>391</v>
      </c>
      <c r="C87" s="112" t="s">
        <v>621</v>
      </c>
      <c r="D87" s="144" t="s">
        <v>684</v>
      </c>
      <c r="E87" s="32" t="s">
        <v>20</v>
      </c>
      <c r="F87" s="151" t="s">
        <v>382</v>
      </c>
      <c r="G87" s="110">
        <v>17308</v>
      </c>
      <c r="H87" s="43">
        <v>60000</v>
      </c>
      <c r="I87" s="34">
        <v>549.12</v>
      </c>
      <c r="J87" s="120"/>
      <c r="K87" s="120"/>
      <c r="L87" s="38" t="s">
        <v>21</v>
      </c>
      <c r="M87" s="38" t="s">
        <v>21</v>
      </c>
      <c r="N87" s="38" t="s">
        <v>21</v>
      </c>
      <c r="O87" s="38" t="s">
        <v>21</v>
      </c>
      <c r="P87" s="119" t="s">
        <v>27</v>
      </c>
      <c r="Q87" s="36">
        <v>45915</v>
      </c>
      <c r="R87" s="119" t="s">
        <v>28</v>
      </c>
      <c r="S87" s="198">
        <v>45933</v>
      </c>
      <c r="T87" s="119" t="s">
        <v>26</v>
      </c>
      <c r="U87" s="158">
        <v>45966</v>
      </c>
      <c r="V87" s="38" t="s">
        <v>25</v>
      </c>
      <c r="W87" s="287"/>
    </row>
    <row r="88" spans="1:23" ht="15.75">
      <c r="A88" s="122" t="s">
        <v>379</v>
      </c>
      <c r="B88" s="122" t="s">
        <v>392</v>
      </c>
      <c r="C88" s="112" t="s">
        <v>636</v>
      </c>
      <c r="D88" s="144" t="s">
        <v>684</v>
      </c>
      <c r="E88" s="32" t="s">
        <v>20</v>
      </c>
      <c r="F88" s="151" t="s">
        <v>393</v>
      </c>
      <c r="G88" s="110">
        <v>17308</v>
      </c>
      <c r="H88" s="43">
        <v>200000</v>
      </c>
      <c r="I88" s="34">
        <v>930.96</v>
      </c>
      <c r="J88" s="120"/>
      <c r="K88" s="120"/>
      <c r="L88" s="38" t="s">
        <v>458</v>
      </c>
      <c r="M88" s="38" t="s">
        <v>21</v>
      </c>
      <c r="N88" s="38" t="s">
        <v>21</v>
      </c>
      <c r="O88" s="38" t="s">
        <v>21</v>
      </c>
      <c r="P88" s="119" t="s">
        <v>27</v>
      </c>
      <c r="Q88" s="36">
        <v>45915</v>
      </c>
      <c r="R88" s="141" t="s">
        <v>28</v>
      </c>
      <c r="S88" s="200">
        <v>45944</v>
      </c>
      <c r="T88" s="119" t="s">
        <v>26</v>
      </c>
      <c r="U88" s="158">
        <v>45975</v>
      </c>
      <c r="V88" s="38" t="s">
        <v>25</v>
      </c>
      <c r="W88" s="287"/>
    </row>
    <row r="89" spans="1:23" ht="15.75">
      <c r="A89" s="122" t="s">
        <v>379</v>
      </c>
      <c r="B89" s="122" t="s">
        <v>394</v>
      </c>
      <c r="C89" s="112" t="s">
        <v>636</v>
      </c>
      <c r="D89" s="144" t="s">
        <v>684</v>
      </c>
      <c r="E89" s="32" t="s">
        <v>20</v>
      </c>
      <c r="F89" s="151" t="s">
        <v>393</v>
      </c>
      <c r="G89" s="110">
        <v>17308</v>
      </c>
      <c r="H89" s="43">
        <v>200000</v>
      </c>
      <c r="I89" s="34">
        <v>930.96</v>
      </c>
      <c r="J89" s="120"/>
      <c r="K89" s="120"/>
      <c r="L89" s="38" t="s">
        <v>21</v>
      </c>
      <c r="M89" s="38" t="s">
        <v>21</v>
      </c>
      <c r="N89" s="38" t="s">
        <v>21</v>
      </c>
      <c r="O89" s="38" t="s">
        <v>21</v>
      </c>
      <c r="P89" s="119" t="s">
        <v>27</v>
      </c>
      <c r="Q89" s="36">
        <v>45915</v>
      </c>
      <c r="R89" s="141" t="s">
        <v>28</v>
      </c>
      <c r="S89" s="200">
        <v>45944</v>
      </c>
      <c r="T89" s="119" t="s">
        <v>26</v>
      </c>
      <c r="U89" s="158">
        <v>45975</v>
      </c>
      <c r="V89" s="38" t="s">
        <v>25</v>
      </c>
      <c r="W89" s="287"/>
    </row>
    <row r="90" spans="1:23" ht="15.75">
      <c r="A90" s="122" t="s">
        <v>390</v>
      </c>
      <c r="B90" s="122" t="s">
        <v>395</v>
      </c>
      <c r="C90" s="112"/>
      <c r="D90" s="194"/>
      <c r="E90" s="162" t="s">
        <v>295</v>
      </c>
      <c r="F90" s="188" t="s">
        <v>381</v>
      </c>
      <c r="G90" s="110">
        <v>17308</v>
      </c>
      <c r="H90" s="43">
        <v>120000</v>
      </c>
      <c r="I90" s="34">
        <v>2246.59</v>
      </c>
      <c r="J90" s="120"/>
      <c r="K90" s="120"/>
      <c r="L90" s="38" t="s">
        <v>21</v>
      </c>
      <c r="M90" s="38" t="s">
        <v>21</v>
      </c>
      <c r="N90" s="38" t="s">
        <v>21</v>
      </c>
      <c r="O90" s="38" t="s">
        <v>21</v>
      </c>
      <c r="P90" s="119" t="s">
        <v>27</v>
      </c>
      <c r="Q90" s="36">
        <v>45915</v>
      </c>
      <c r="R90" s="163" t="s">
        <v>28</v>
      </c>
      <c r="S90" s="163"/>
      <c r="T90" s="163" t="s">
        <v>26</v>
      </c>
      <c r="U90" s="163"/>
      <c r="V90" s="38" t="s">
        <v>25</v>
      </c>
      <c r="W90" s="120"/>
    </row>
    <row r="91" spans="1:23" ht="15.75">
      <c r="A91" s="122" t="s">
        <v>389</v>
      </c>
      <c r="B91" s="122" t="s">
        <v>396</v>
      </c>
      <c r="C91" s="112"/>
      <c r="D91" s="194"/>
      <c r="E91" s="162" t="s">
        <v>295</v>
      </c>
      <c r="F91" s="225" t="s">
        <v>388</v>
      </c>
      <c r="G91" s="110">
        <v>17308</v>
      </c>
      <c r="H91" s="43">
        <v>110000</v>
      </c>
      <c r="I91" s="34">
        <v>965.66</v>
      </c>
      <c r="J91" s="120"/>
      <c r="K91" s="120"/>
      <c r="L91" s="38" t="s">
        <v>21</v>
      </c>
      <c r="M91" s="38" t="s">
        <v>21</v>
      </c>
      <c r="N91" s="38" t="s">
        <v>21</v>
      </c>
      <c r="O91" s="38" t="s">
        <v>21</v>
      </c>
      <c r="P91" s="119" t="s">
        <v>27</v>
      </c>
      <c r="Q91" s="36">
        <v>45915</v>
      </c>
      <c r="R91" s="163" t="s">
        <v>28</v>
      </c>
      <c r="S91" s="163"/>
      <c r="T91" s="163" t="s">
        <v>26</v>
      </c>
      <c r="U91" s="163"/>
      <c r="V91" s="38" t="s">
        <v>25</v>
      </c>
      <c r="W91" s="120"/>
    </row>
    <row r="92" spans="1:23" ht="15.75">
      <c r="A92" s="122" t="s">
        <v>398</v>
      </c>
      <c r="B92" s="122" t="s">
        <v>399</v>
      </c>
      <c r="C92" s="112"/>
      <c r="D92" s="144"/>
      <c r="E92" s="162" t="s">
        <v>295</v>
      </c>
      <c r="F92" s="188" t="s">
        <v>400</v>
      </c>
      <c r="G92" s="110">
        <v>17308</v>
      </c>
      <c r="H92" s="43">
        <v>360000</v>
      </c>
      <c r="I92" s="134">
        <v>2071.08</v>
      </c>
      <c r="J92" s="120"/>
      <c r="K92" s="120"/>
      <c r="L92" s="38" t="s">
        <v>21</v>
      </c>
      <c r="M92" s="38" t="s">
        <v>21</v>
      </c>
      <c r="N92" s="38" t="s">
        <v>21</v>
      </c>
      <c r="O92" s="38" t="s">
        <v>21</v>
      </c>
      <c r="P92" s="119" t="s">
        <v>27</v>
      </c>
      <c r="Q92" s="36">
        <v>45915</v>
      </c>
      <c r="R92" s="163" t="s">
        <v>28</v>
      </c>
      <c r="S92" s="163"/>
      <c r="T92" s="163" t="s">
        <v>26</v>
      </c>
      <c r="U92" s="163"/>
      <c r="V92" s="38" t="s">
        <v>25</v>
      </c>
      <c r="W92" s="120"/>
    </row>
    <row r="93" spans="1:23" ht="15.75">
      <c r="A93" s="122" t="s">
        <v>406</v>
      </c>
      <c r="B93" s="122" t="s">
        <v>408</v>
      </c>
      <c r="C93" s="112" t="s">
        <v>636</v>
      </c>
      <c r="D93" s="144" t="s">
        <v>684</v>
      </c>
      <c r="E93" s="32" t="s">
        <v>20</v>
      </c>
      <c r="F93" s="207" t="s">
        <v>407</v>
      </c>
      <c r="G93" s="110">
        <v>17308</v>
      </c>
      <c r="H93" s="43">
        <v>130000</v>
      </c>
      <c r="I93" s="134">
        <v>835.74</v>
      </c>
      <c r="J93" s="120"/>
      <c r="K93" s="120"/>
      <c r="L93" s="38" t="s">
        <v>21</v>
      </c>
      <c r="M93" s="38" t="s">
        <v>21</v>
      </c>
      <c r="N93" s="38" t="s">
        <v>21</v>
      </c>
      <c r="O93" s="38" t="s">
        <v>21</v>
      </c>
      <c r="P93" s="38" t="s">
        <v>21</v>
      </c>
      <c r="Q93" s="197" t="s">
        <v>21</v>
      </c>
      <c r="R93" s="119" t="s">
        <v>27</v>
      </c>
      <c r="S93" s="36">
        <v>45920</v>
      </c>
      <c r="T93" s="119" t="s">
        <v>28</v>
      </c>
      <c r="U93" s="158">
        <v>45966</v>
      </c>
      <c r="V93" s="38" t="s">
        <v>26</v>
      </c>
      <c r="W93" s="287"/>
    </row>
    <row r="94" spans="1:23" ht="15.75">
      <c r="A94" s="122" t="s">
        <v>412</v>
      </c>
      <c r="B94" s="122" t="s">
        <v>413</v>
      </c>
      <c r="C94" s="112" t="s">
        <v>621</v>
      </c>
      <c r="D94" s="144"/>
      <c r="E94" s="162" t="s">
        <v>295</v>
      </c>
      <c r="F94" s="187" t="s">
        <v>409</v>
      </c>
      <c r="G94" s="110">
        <v>17308</v>
      </c>
      <c r="H94" s="43">
        <v>70000</v>
      </c>
      <c r="I94" s="34">
        <v>640.64</v>
      </c>
      <c r="J94" s="120"/>
      <c r="K94" s="120"/>
      <c r="L94" s="38" t="s">
        <v>21</v>
      </c>
      <c r="M94" s="38" t="s">
        <v>21</v>
      </c>
      <c r="N94" s="38" t="s">
        <v>21</v>
      </c>
      <c r="O94" s="38" t="s">
        <v>21</v>
      </c>
      <c r="P94" s="38" t="s">
        <v>21</v>
      </c>
      <c r="Q94" s="197" t="s">
        <v>21</v>
      </c>
      <c r="R94" s="119" t="s">
        <v>27</v>
      </c>
      <c r="S94" s="36">
        <v>45922</v>
      </c>
      <c r="T94" s="163" t="s">
        <v>28</v>
      </c>
      <c r="U94" s="163"/>
      <c r="V94" s="38" t="s">
        <v>26</v>
      </c>
      <c r="W94" s="120"/>
    </row>
    <row r="95" spans="1:23" ht="15.75">
      <c r="A95" s="122" t="s">
        <v>414</v>
      </c>
      <c r="B95" s="122" t="s">
        <v>415</v>
      </c>
      <c r="C95" s="112" t="s">
        <v>621</v>
      </c>
      <c r="D95" s="144" t="s">
        <v>684</v>
      </c>
      <c r="E95" s="32" t="s">
        <v>20</v>
      </c>
      <c r="F95" s="145" t="s">
        <v>411</v>
      </c>
      <c r="G95" s="110">
        <v>17308</v>
      </c>
      <c r="H95" s="43">
        <v>60000</v>
      </c>
      <c r="I95" s="34">
        <v>549.12</v>
      </c>
      <c r="J95" s="120"/>
      <c r="K95" s="120"/>
      <c r="L95" s="38" t="s">
        <v>21</v>
      </c>
      <c r="M95" s="38" t="s">
        <v>21</v>
      </c>
      <c r="N95" s="38" t="s">
        <v>21</v>
      </c>
      <c r="O95" s="38" t="s">
        <v>21</v>
      </c>
      <c r="P95" s="38" t="s">
        <v>21</v>
      </c>
      <c r="Q95" s="197" t="s">
        <v>21</v>
      </c>
      <c r="R95" s="119" t="s">
        <v>27</v>
      </c>
      <c r="S95" s="36">
        <v>45922</v>
      </c>
      <c r="T95" s="119" t="s">
        <v>28</v>
      </c>
      <c r="U95" s="158">
        <v>45964</v>
      </c>
      <c r="V95" s="38" t="s">
        <v>26</v>
      </c>
      <c r="W95" s="287"/>
    </row>
    <row r="96" spans="1:23" ht="15.75">
      <c r="A96" s="122" t="s">
        <v>417</v>
      </c>
      <c r="B96" s="122" t="s">
        <v>422</v>
      </c>
      <c r="C96" s="112" t="s">
        <v>621</v>
      </c>
      <c r="D96" s="144"/>
      <c r="E96" s="162" t="s">
        <v>295</v>
      </c>
      <c r="F96" s="274" t="s">
        <v>416</v>
      </c>
      <c r="G96" s="110">
        <v>17308</v>
      </c>
      <c r="H96" s="43">
        <v>110000</v>
      </c>
      <c r="I96" s="34">
        <v>965.66</v>
      </c>
      <c r="J96" s="38" t="s">
        <v>21</v>
      </c>
      <c r="K96" s="38" t="s">
        <v>21</v>
      </c>
      <c r="L96" s="38" t="s">
        <v>21</v>
      </c>
      <c r="M96" s="38" t="s">
        <v>21</v>
      </c>
      <c r="N96" s="38" t="s">
        <v>21</v>
      </c>
      <c r="O96" s="38" t="s">
        <v>21</v>
      </c>
      <c r="P96" s="38" t="s">
        <v>21</v>
      </c>
      <c r="Q96" s="38" t="s">
        <v>21</v>
      </c>
      <c r="R96" s="119" t="s">
        <v>27</v>
      </c>
      <c r="S96" s="36">
        <v>45923</v>
      </c>
      <c r="T96" s="163" t="s">
        <v>28</v>
      </c>
      <c r="U96" s="163"/>
      <c r="V96" s="38" t="s">
        <v>26</v>
      </c>
      <c r="W96" s="120"/>
    </row>
    <row r="97" spans="1:23" ht="15.75">
      <c r="A97" s="122" t="s">
        <v>418</v>
      </c>
      <c r="B97" s="122" t="s">
        <v>427</v>
      </c>
      <c r="C97" s="112" t="s">
        <v>621</v>
      </c>
      <c r="D97" s="144" t="s">
        <v>684</v>
      </c>
      <c r="E97" s="32" t="s">
        <v>20</v>
      </c>
      <c r="F97" s="206" t="s">
        <v>419</v>
      </c>
      <c r="G97" s="202">
        <v>17308</v>
      </c>
      <c r="H97" s="43">
        <v>110000</v>
      </c>
      <c r="I97" s="34">
        <v>707.16</v>
      </c>
      <c r="J97" s="38" t="s">
        <v>21</v>
      </c>
      <c r="K97" s="38" t="s">
        <v>21</v>
      </c>
      <c r="L97" s="38" t="s">
        <v>21</v>
      </c>
      <c r="M97" s="38" t="s">
        <v>21</v>
      </c>
      <c r="N97" s="38" t="s">
        <v>21</v>
      </c>
      <c r="O97" s="38" t="s">
        <v>21</v>
      </c>
      <c r="P97" s="38" t="s">
        <v>21</v>
      </c>
      <c r="Q97" s="38" t="s">
        <v>21</v>
      </c>
      <c r="R97" s="119" t="s">
        <v>27</v>
      </c>
      <c r="S97" s="198">
        <v>45924</v>
      </c>
      <c r="T97" s="119" t="s">
        <v>28</v>
      </c>
      <c r="U97" s="158">
        <v>45975</v>
      </c>
      <c r="V97" s="38" t="s">
        <v>26</v>
      </c>
      <c r="W97" s="287"/>
    </row>
    <row r="98" spans="1:23" ht="15.75">
      <c r="A98" s="122" t="s">
        <v>420</v>
      </c>
      <c r="B98" s="122" t="s">
        <v>428</v>
      </c>
      <c r="C98" s="112" t="s">
        <v>621</v>
      </c>
      <c r="D98" s="31" t="s">
        <v>687</v>
      </c>
      <c r="E98" s="32" t="s">
        <v>20</v>
      </c>
      <c r="F98" s="206" t="s">
        <v>421</v>
      </c>
      <c r="G98" s="202">
        <v>17308</v>
      </c>
      <c r="H98" s="43">
        <v>80000</v>
      </c>
      <c r="I98" s="34">
        <v>795.68</v>
      </c>
      <c r="J98" s="38" t="s">
        <v>21</v>
      </c>
      <c r="K98" s="38" t="s">
        <v>21</v>
      </c>
      <c r="L98" s="38"/>
      <c r="M98" s="38" t="s">
        <v>21</v>
      </c>
      <c r="N98" s="38" t="s">
        <v>21</v>
      </c>
      <c r="O98" s="38" t="s">
        <v>21</v>
      </c>
      <c r="P98" s="38" t="s">
        <v>21</v>
      </c>
      <c r="Q98" s="38" t="s">
        <v>21</v>
      </c>
      <c r="R98" s="119" t="s">
        <v>27</v>
      </c>
      <c r="S98" s="198">
        <v>45924</v>
      </c>
      <c r="T98" s="119" t="s">
        <v>28</v>
      </c>
      <c r="U98" s="158">
        <v>45945</v>
      </c>
      <c r="V98" s="119" t="s">
        <v>26</v>
      </c>
      <c r="W98" s="289">
        <v>45978</v>
      </c>
    </row>
    <row r="99" spans="1:23" ht="15.75">
      <c r="A99" s="122" t="s">
        <v>424</v>
      </c>
      <c r="B99" s="122" t="s">
        <v>429</v>
      </c>
      <c r="C99" s="112" t="s">
        <v>621</v>
      </c>
      <c r="D99" s="144" t="s">
        <v>684</v>
      </c>
      <c r="E99" s="32" t="s">
        <v>20</v>
      </c>
      <c r="F99" s="145" t="s">
        <v>423</v>
      </c>
      <c r="G99" s="202">
        <v>17308</v>
      </c>
      <c r="H99" s="43">
        <v>70000</v>
      </c>
      <c r="I99" s="34">
        <v>696.22</v>
      </c>
      <c r="J99" s="38" t="s">
        <v>21</v>
      </c>
      <c r="K99" s="38" t="s">
        <v>21</v>
      </c>
      <c r="L99" s="38" t="s">
        <v>21</v>
      </c>
      <c r="M99" s="38" t="s">
        <v>21</v>
      </c>
      <c r="N99" s="38" t="s">
        <v>21</v>
      </c>
      <c r="O99" s="38" t="s">
        <v>21</v>
      </c>
      <c r="P99" s="38" t="s">
        <v>21</v>
      </c>
      <c r="Q99" s="38" t="s">
        <v>21</v>
      </c>
      <c r="R99" s="119" t="s">
        <v>27</v>
      </c>
      <c r="S99" s="198">
        <v>45924</v>
      </c>
      <c r="T99" s="119" t="s">
        <v>28</v>
      </c>
      <c r="U99" s="158">
        <v>45952</v>
      </c>
      <c r="V99" s="38" t="s">
        <v>26</v>
      </c>
      <c r="W99" s="287"/>
    </row>
    <row r="100" spans="1:23" ht="15.75">
      <c r="A100" s="122" t="s">
        <v>426</v>
      </c>
      <c r="B100" s="122" t="s">
        <v>450</v>
      </c>
      <c r="C100" s="112" t="s">
        <v>621</v>
      </c>
      <c r="D100" s="144" t="s">
        <v>684</v>
      </c>
      <c r="E100" s="32" t="s">
        <v>20</v>
      </c>
      <c r="F100" s="145" t="s">
        <v>556</v>
      </c>
      <c r="G100" s="202">
        <v>17308</v>
      </c>
      <c r="H100" s="43">
        <v>60000</v>
      </c>
      <c r="I100" s="34">
        <v>596.76</v>
      </c>
      <c r="J100" s="38" t="s">
        <v>21</v>
      </c>
      <c r="K100" s="38" t="s">
        <v>21</v>
      </c>
      <c r="L100" s="38" t="s">
        <v>21</v>
      </c>
      <c r="M100" s="38" t="s">
        <v>21</v>
      </c>
      <c r="N100" s="38" t="s">
        <v>21</v>
      </c>
      <c r="O100" s="38" t="s">
        <v>21</v>
      </c>
      <c r="P100" s="38" t="s">
        <v>21</v>
      </c>
      <c r="Q100" s="38" t="s">
        <v>21</v>
      </c>
      <c r="R100" s="119" t="s">
        <v>27</v>
      </c>
      <c r="S100" s="198">
        <v>45926</v>
      </c>
      <c r="T100" s="119" t="s">
        <v>28</v>
      </c>
      <c r="U100" s="158">
        <v>45967</v>
      </c>
      <c r="V100" s="38" t="s">
        <v>26</v>
      </c>
      <c r="W100" s="287"/>
    </row>
    <row r="101" spans="1:23" ht="15.75">
      <c r="A101" s="122" t="s">
        <v>437</v>
      </c>
      <c r="B101" s="122" t="s">
        <v>449</v>
      </c>
      <c r="C101" s="112" t="s">
        <v>621</v>
      </c>
      <c r="D101" s="144" t="s">
        <v>684</v>
      </c>
      <c r="E101" s="32" t="s">
        <v>20</v>
      </c>
      <c r="F101" s="145" t="s">
        <v>430</v>
      </c>
      <c r="G101" s="202">
        <v>17308</v>
      </c>
      <c r="H101" s="134">
        <v>160000</v>
      </c>
      <c r="I101" s="134">
        <v>1404.6</v>
      </c>
      <c r="J101" s="38" t="s">
        <v>21</v>
      </c>
      <c r="K101" s="38" t="s">
        <v>21</v>
      </c>
      <c r="L101" s="38" t="s">
        <v>21</v>
      </c>
      <c r="M101" s="38" t="s">
        <v>21</v>
      </c>
      <c r="N101" s="38" t="s">
        <v>21</v>
      </c>
      <c r="O101" s="38" t="s">
        <v>21</v>
      </c>
      <c r="P101" s="38" t="s">
        <v>21</v>
      </c>
      <c r="Q101" s="38" t="s">
        <v>21</v>
      </c>
      <c r="R101" s="119" t="s">
        <v>27</v>
      </c>
      <c r="S101" s="198">
        <v>45926</v>
      </c>
      <c r="T101" s="119" t="s">
        <v>28</v>
      </c>
      <c r="U101" s="158">
        <v>45968</v>
      </c>
      <c r="V101" s="38" t="s">
        <v>26</v>
      </c>
      <c r="W101" s="287"/>
    </row>
    <row r="102" spans="1:23" ht="15.75">
      <c r="A102" s="122" t="s">
        <v>447</v>
      </c>
      <c r="B102" s="122" t="s">
        <v>448</v>
      </c>
      <c r="C102" s="112" t="s">
        <v>621</v>
      </c>
      <c r="D102" s="144"/>
      <c r="E102" s="162" t="s">
        <v>295</v>
      </c>
      <c r="F102" s="274" t="s">
        <v>431</v>
      </c>
      <c r="G102" s="202">
        <v>17308</v>
      </c>
      <c r="H102" s="134">
        <v>60000</v>
      </c>
      <c r="I102" s="134">
        <v>596</v>
      </c>
      <c r="J102" s="38" t="s">
        <v>21</v>
      </c>
      <c r="K102" s="38" t="s">
        <v>21</v>
      </c>
      <c r="L102" s="38" t="s">
        <v>21</v>
      </c>
      <c r="M102" s="38" t="s">
        <v>21</v>
      </c>
      <c r="N102" s="38" t="s">
        <v>21</v>
      </c>
      <c r="O102" s="38" t="s">
        <v>21</v>
      </c>
      <c r="P102" s="38" t="s">
        <v>21</v>
      </c>
      <c r="Q102" s="38" t="s">
        <v>21</v>
      </c>
      <c r="R102" s="119" t="s">
        <v>27</v>
      </c>
      <c r="S102" s="198">
        <v>45926</v>
      </c>
      <c r="T102" s="163" t="s">
        <v>28</v>
      </c>
      <c r="U102" s="163"/>
      <c r="V102" s="38" t="s">
        <v>26</v>
      </c>
      <c r="W102" s="120"/>
    </row>
    <row r="103" spans="1:23" ht="15.75">
      <c r="A103" s="122" t="s">
        <v>445</v>
      </c>
      <c r="B103" s="122" t="s">
        <v>446</v>
      </c>
      <c r="C103" s="112" t="s">
        <v>621</v>
      </c>
      <c r="D103" s="144" t="s">
        <v>684</v>
      </c>
      <c r="E103" s="32" t="s">
        <v>20</v>
      </c>
      <c r="F103" s="145" t="s">
        <v>444</v>
      </c>
      <c r="G103" s="202">
        <v>17308</v>
      </c>
      <c r="H103" s="210">
        <v>60000</v>
      </c>
      <c r="I103" s="134">
        <v>596</v>
      </c>
      <c r="J103" s="38" t="s">
        <v>21</v>
      </c>
      <c r="K103" s="38" t="s">
        <v>21</v>
      </c>
      <c r="L103" s="38" t="s">
        <v>21</v>
      </c>
      <c r="M103" s="38" t="s">
        <v>21</v>
      </c>
      <c r="N103" s="38" t="s">
        <v>21</v>
      </c>
      <c r="O103" s="38" t="s">
        <v>21</v>
      </c>
      <c r="P103" s="38" t="s">
        <v>21</v>
      </c>
      <c r="Q103" s="38" t="s">
        <v>21</v>
      </c>
      <c r="R103" s="119" t="s">
        <v>27</v>
      </c>
      <c r="S103" s="198">
        <v>45926</v>
      </c>
      <c r="T103" s="119" t="s">
        <v>28</v>
      </c>
      <c r="U103" s="158">
        <v>45966</v>
      </c>
      <c r="V103" s="38" t="s">
        <v>26</v>
      </c>
      <c r="W103" s="287"/>
    </row>
    <row r="104" spans="1:23" ht="15.75">
      <c r="A104" s="122" t="s">
        <v>454</v>
      </c>
      <c r="B104" s="122" t="s">
        <v>455</v>
      </c>
      <c r="C104" s="112" t="s">
        <v>621</v>
      </c>
      <c r="D104" s="144" t="s">
        <v>684</v>
      </c>
      <c r="E104" s="32" t="s">
        <v>20</v>
      </c>
      <c r="F104" s="145" t="s">
        <v>608</v>
      </c>
      <c r="G104" s="202">
        <v>17308</v>
      </c>
      <c r="H104" s="211">
        <v>70000</v>
      </c>
      <c r="I104" s="34">
        <v>640.64</v>
      </c>
      <c r="J104" s="38" t="s">
        <v>21</v>
      </c>
      <c r="K104" s="38" t="s">
        <v>21</v>
      </c>
      <c r="L104" s="38" t="s">
        <v>21</v>
      </c>
      <c r="M104" s="38" t="s">
        <v>21</v>
      </c>
      <c r="N104" s="38" t="s">
        <v>21</v>
      </c>
      <c r="O104" s="38" t="s">
        <v>21</v>
      </c>
      <c r="P104" s="38" t="s">
        <v>21</v>
      </c>
      <c r="Q104" s="38" t="s">
        <v>21</v>
      </c>
      <c r="R104" s="119" t="s">
        <v>27</v>
      </c>
      <c r="S104" s="198">
        <v>45926</v>
      </c>
      <c r="T104" s="119" t="s">
        <v>28</v>
      </c>
      <c r="U104" s="158">
        <v>45968</v>
      </c>
      <c r="V104" s="38" t="s">
        <v>26</v>
      </c>
      <c r="W104" s="287"/>
    </row>
    <row r="105" spans="1:23" ht="15.75">
      <c r="A105" s="122" t="s">
        <v>438</v>
      </c>
      <c r="B105" s="122" t="s">
        <v>439</v>
      </c>
      <c r="C105" s="112" t="s">
        <v>621</v>
      </c>
      <c r="D105" s="144"/>
      <c r="E105" s="162" t="s">
        <v>295</v>
      </c>
      <c r="F105" s="274" t="s">
        <v>434</v>
      </c>
      <c r="G105" s="202">
        <v>17308</v>
      </c>
      <c r="H105" s="210">
        <v>60000</v>
      </c>
      <c r="I105" s="134">
        <v>596</v>
      </c>
      <c r="J105" s="38" t="s">
        <v>21</v>
      </c>
      <c r="K105" s="38" t="s">
        <v>21</v>
      </c>
      <c r="L105" s="38" t="s">
        <v>21</v>
      </c>
      <c r="M105" s="38" t="s">
        <v>21</v>
      </c>
      <c r="N105" s="38" t="s">
        <v>21</v>
      </c>
      <c r="O105" s="38" t="s">
        <v>21</v>
      </c>
      <c r="P105" s="38" t="s">
        <v>21</v>
      </c>
      <c r="Q105" s="38" t="s">
        <v>21</v>
      </c>
      <c r="R105" s="119" t="s">
        <v>27</v>
      </c>
      <c r="S105" s="198">
        <v>45926</v>
      </c>
      <c r="T105" s="163" t="s">
        <v>28</v>
      </c>
      <c r="U105" s="163"/>
      <c r="V105" s="38" t="s">
        <v>26</v>
      </c>
      <c r="W105" s="120"/>
    </row>
    <row r="106" spans="1:23" ht="15.75">
      <c r="A106" s="122" t="s">
        <v>440</v>
      </c>
      <c r="B106" s="122" t="s">
        <v>441</v>
      </c>
      <c r="C106" s="112" t="s">
        <v>636</v>
      </c>
      <c r="D106" s="144" t="s">
        <v>684</v>
      </c>
      <c r="E106" s="32" t="s">
        <v>20</v>
      </c>
      <c r="F106" s="145" t="s">
        <v>492</v>
      </c>
      <c r="G106" s="202">
        <v>17308</v>
      </c>
      <c r="H106" s="211">
        <v>100000</v>
      </c>
      <c r="I106" s="34">
        <v>2246.59</v>
      </c>
      <c r="J106" s="38" t="s">
        <v>21</v>
      </c>
      <c r="K106" s="38" t="s">
        <v>21</v>
      </c>
      <c r="L106" s="38" t="s">
        <v>21</v>
      </c>
      <c r="M106" s="38" t="s">
        <v>21</v>
      </c>
      <c r="N106" s="38" t="s">
        <v>21</v>
      </c>
      <c r="O106" s="38" t="s">
        <v>21</v>
      </c>
      <c r="P106" s="38" t="s">
        <v>21</v>
      </c>
      <c r="Q106" s="38" t="s">
        <v>21</v>
      </c>
      <c r="R106" s="119" t="s">
        <v>27</v>
      </c>
      <c r="S106" s="198">
        <v>45926</v>
      </c>
      <c r="T106" s="119" t="s">
        <v>28</v>
      </c>
      <c r="U106" s="158">
        <v>45967</v>
      </c>
      <c r="V106" s="38" t="s">
        <v>26</v>
      </c>
      <c r="W106" s="287"/>
    </row>
    <row r="107" spans="1:23" ht="15.75">
      <c r="A107" s="122" t="s">
        <v>442</v>
      </c>
      <c r="B107" s="122" t="s">
        <v>443</v>
      </c>
      <c r="C107" s="112" t="s">
        <v>621</v>
      </c>
      <c r="D107" s="144" t="s">
        <v>684</v>
      </c>
      <c r="E107" s="32" t="s">
        <v>20</v>
      </c>
      <c r="F107" s="33" t="s">
        <v>436</v>
      </c>
      <c r="G107" s="202">
        <v>17308</v>
      </c>
      <c r="H107" s="211">
        <v>100000</v>
      </c>
      <c r="I107" s="134">
        <v>915</v>
      </c>
      <c r="J107" s="38" t="s">
        <v>21</v>
      </c>
      <c r="K107" s="38" t="s">
        <v>21</v>
      </c>
      <c r="L107" s="38" t="s">
        <v>21</v>
      </c>
      <c r="M107" s="38" t="s">
        <v>21</v>
      </c>
      <c r="N107" s="38" t="s">
        <v>21</v>
      </c>
      <c r="O107" s="38" t="s">
        <v>21</v>
      </c>
      <c r="P107" s="38" t="s">
        <v>21</v>
      </c>
      <c r="Q107" s="38" t="s">
        <v>21</v>
      </c>
      <c r="R107" s="119" t="s">
        <v>27</v>
      </c>
      <c r="S107" s="198">
        <v>45931</v>
      </c>
      <c r="T107" s="119" t="s">
        <v>28</v>
      </c>
      <c r="U107" s="158">
        <v>45968</v>
      </c>
      <c r="V107" s="38" t="s">
        <v>26</v>
      </c>
      <c r="W107" s="287"/>
    </row>
    <row r="108" spans="1:23" ht="15.75">
      <c r="A108" s="122" t="s">
        <v>476</v>
      </c>
      <c r="B108" s="122" t="s">
        <v>477</v>
      </c>
      <c r="C108" s="112" t="s">
        <v>621</v>
      </c>
      <c r="D108" s="144"/>
      <c r="E108" s="162" t="s">
        <v>295</v>
      </c>
      <c r="F108" s="274" t="s">
        <v>451</v>
      </c>
      <c r="G108" s="202">
        <v>17308</v>
      </c>
      <c r="H108" s="211">
        <v>70000</v>
      </c>
      <c r="I108" s="34">
        <v>640.64</v>
      </c>
      <c r="J108" s="38" t="s">
        <v>21</v>
      </c>
      <c r="K108" s="38" t="s">
        <v>21</v>
      </c>
      <c r="L108" s="38" t="s">
        <v>21</v>
      </c>
      <c r="M108" s="38" t="s">
        <v>21</v>
      </c>
      <c r="N108" s="38" t="s">
        <v>21</v>
      </c>
      <c r="O108" s="38" t="s">
        <v>21</v>
      </c>
      <c r="P108" s="38" t="s">
        <v>21</v>
      </c>
      <c r="Q108" s="38" t="s">
        <v>21</v>
      </c>
      <c r="R108" s="119" t="s">
        <v>27</v>
      </c>
      <c r="S108" s="198">
        <v>45933</v>
      </c>
      <c r="T108" s="163" t="s">
        <v>28</v>
      </c>
      <c r="U108" s="163"/>
      <c r="V108" s="38" t="s">
        <v>26</v>
      </c>
      <c r="W108" s="120"/>
    </row>
    <row r="109" spans="1:23" ht="15.75">
      <c r="A109" s="122" t="s">
        <v>460</v>
      </c>
      <c r="B109" s="122" t="s">
        <v>461</v>
      </c>
      <c r="C109" s="112" t="s">
        <v>621</v>
      </c>
      <c r="D109" s="144" t="s">
        <v>684</v>
      </c>
      <c r="E109" s="32" t="s">
        <v>20</v>
      </c>
      <c r="F109" s="145" t="s">
        <v>452</v>
      </c>
      <c r="G109" s="202">
        <v>17308</v>
      </c>
      <c r="H109" s="211">
        <v>80000</v>
      </c>
      <c r="I109" s="34">
        <v>795.68</v>
      </c>
      <c r="J109" s="38" t="s">
        <v>21</v>
      </c>
      <c r="K109" s="38" t="s">
        <v>21</v>
      </c>
      <c r="L109" s="38" t="s">
        <v>21</v>
      </c>
      <c r="M109" s="38" t="s">
        <v>21</v>
      </c>
      <c r="N109" s="38" t="s">
        <v>21</v>
      </c>
      <c r="O109" s="38" t="s">
        <v>21</v>
      </c>
      <c r="P109" s="38" t="s">
        <v>21</v>
      </c>
      <c r="Q109" s="38" t="s">
        <v>21</v>
      </c>
      <c r="R109" s="119" t="s">
        <v>27</v>
      </c>
      <c r="S109" s="198">
        <v>45934</v>
      </c>
      <c r="T109" s="119" t="s">
        <v>28</v>
      </c>
      <c r="U109" s="158">
        <v>45964</v>
      </c>
      <c r="V109" s="38" t="s">
        <v>26</v>
      </c>
      <c r="W109" s="287"/>
    </row>
    <row r="110" spans="1:23" ht="15.75">
      <c r="A110" s="122" t="s">
        <v>462</v>
      </c>
      <c r="B110" s="122" t="s">
        <v>463</v>
      </c>
      <c r="C110" s="112" t="s">
        <v>621</v>
      </c>
      <c r="D110" s="144" t="s">
        <v>684</v>
      </c>
      <c r="E110" s="32" t="s">
        <v>20</v>
      </c>
      <c r="F110" s="145" t="s">
        <v>596</v>
      </c>
      <c r="G110" s="202">
        <v>17308</v>
      </c>
      <c r="H110" s="211">
        <v>90000</v>
      </c>
      <c r="I110" s="34">
        <v>823</v>
      </c>
      <c r="J110" s="38" t="s">
        <v>21</v>
      </c>
      <c r="K110" s="38" t="s">
        <v>21</v>
      </c>
      <c r="L110" s="38" t="s">
        <v>21</v>
      </c>
      <c r="M110" s="38" t="s">
        <v>21</v>
      </c>
      <c r="N110" s="38" t="s">
        <v>21</v>
      </c>
      <c r="O110" s="38" t="s">
        <v>21</v>
      </c>
      <c r="P110" s="38" t="s">
        <v>21</v>
      </c>
      <c r="Q110" s="38" t="s">
        <v>21</v>
      </c>
      <c r="R110" s="119" t="s">
        <v>27</v>
      </c>
      <c r="S110" s="198">
        <v>45934</v>
      </c>
      <c r="T110" s="119" t="s">
        <v>28</v>
      </c>
      <c r="U110" s="158">
        <v>45966</v>
      </c>
      <c r="V110" s="38" t="s">
        <v>26</v>
      </c>
      <c r="W110" s="287"/>
    </row>
    <row r="111" spans="1:23" ht="15.75">
      <c r="A111" s="222" t="s">
        <v>465</v>
      </c>
      <c r="B111" s="222" t="s">
        <v>466</v>
      </c>
      <c r="C111" s="112" t="s">
        <v>621</v>
      </c>
      <c r="D111" s="144" t="s">
        <v>684</v>
      </c>
      <c r="E111" s="135" t="s">
        <v>20</v>
      </c>
      <c r="F111" s="223" t="s">
        <v>456</v>
      </c>
      <c r="G111" s="202">
        <v>17308</v>
      </c>
      <c r="H111" s="233">
        <v>60000</v>
      </c>
      <c r="I111" s="138">
        <v>595</v>
      </c>
      <c r="J111" s="38" t="s">
        <v>21</v>
      </c>
      <c r="K111" s="38" t="s">
        <v>21</v>
      </c>
      <c r="L111" s="38" t="s">
        <v>21</v>
      </c>
      <c r="M111" s="38" t="s">
        <v>21</v>
      </c>
      <c r="N111" s="140" t="s">
        <v>21</v>
      </c>
      <c r="O111" s="38" t="s">
        <v>21</v>
      </c>
      <c r="P111" s="38" t="s">
        <v>21</v>
      </c>
      <c r="Q111" s="38" t="s">
        <v>21</v>
      </c>
      <c r="R111" s="119" t="s">
        <v>27</v>
      </c>
      <c r="S111" s="198">
        <v>45936</v>
      </c>
      <c r="T111" s="119" t="s">
        <v>28</v>
      </c>
      <c r="U111" s="158">
        <v>45966</v>
      </c>
      <c r="V111" s="38" t="s">
        <v>26</v>
      </c>
      <c r="W111" s="287"/>
    </row>
    <row r="112" spans="1:23" ht="15.75">
      <c r="A112" s="30" t="s">
        <v>467</v>
      </c>
      <c r="B112" s="122" t="s">
        <v>468</v>
      </c>
      <c r="C112" s="112" t="s">
        <v>621</v>
      </c>
      <c r="D112" s="144" t="s">
        <v>684</v>
      </c>
      <c r="E112" s="32" t="s">
        <v>20</v>
      </c>
      <c r="F112" s="145" t="s">
        <v>457</v>
      </c>
      <c r="G112" s="202">
        <v>17308</v>
      </c>
      <c r="H112" s="43">
        <v>70000</v>
      </c>
      <c r="I112" s="34">
        <v>696.22</v>
      </c>
      <c r="J112" s="38" t="s">
        <v>21</v>
      </c>
      <c r="K112" s="38" t="s">
        <v>21</v>
      </c>
      <c r="L112" s="38" t="s">
        <v>21</v>
      </c>
      <c r="M112" s="38" t="s">
        <v>21</v>
      </c>
      <c r="N112" s="38" t="s">
        <v>21</v>
      </c>
      <c r="O112" s="38" t="s">
        <v>21</v>
      </c>
      <c r="P112" s="38" t="s">
        <v>21</v>
      </c>
      <c r="Q112" s="38" t="s">
        <v>21</v>
      </c>
      <c r="R112" s="119" t="s">
        <v>27</v>
      </c>
      <c r="S112" s="198">
        <v>45936</v>
      </c>
      <c r="T112" s="119" t="s">
        <v>28</v>
      </c>
      <c r="U112" s="158">
        <v>45968</v>
      </c>
      <c r="V112" s="38" t="s">
        <v>26</v>
      </c>
      <c r="W112" s="287"/>
    </row>
    <row r="113" spans="1:23" ht="15.75">
      <c r="A113" s="234" t="s">
        <v>478</v>
      </c>
      <c r="B113" s="234" t="s">
        <v>479</v>
      </c>
      <c r="C113" s="112" t="s">
        <v>636</v>
      </c>
      <c r="D113" s="144" t="s">
        <v>684</v>
      </c>
      <c r="E113" s="135" t="s">
        <v>20</v>
      </c>
      <c r="F113" s="223" t="s">
        <v>472</v>
      </c>
      <c r="G113" s="231">
        <v>24627</v>
      </c>
      <c r="H113" s="224">
        <v>101000</v>
      </c>
      <c r="I113" s="138">
        <v>649.30999999999995</v>
      </c>
      <c r="J113" s="120"/>
      <c r="K113" s="120"/>
      <c r="L113" s="219"/>
      <c r="M113" s="219"/>
      <c r="N113" s="140" t="s">
        <v>21</v>
      </c>
      <c r="O113" s="38" t="s">
        <v>21</v>
      </c>
      <c r="P113" s="38" t="s">
        <v>21</v>
      </c>
      <c r="Q113" s="38" t="s">
        <v>21</v>
      </c>
      <c r="R113" s="119" t="s">
        <v>27</v>
      </c>
      <c r="S113" s="198">
        <v>45938</v>
      </c>
      <c r="T113" s="119" t="s">
        <v>28</v>
      </c>
      <c r="U113" s="158">
        <v>45964</v>
      </c>
      <c r="V113" s="38" t="s">
        <v>26</v>
      </c>
      <c r="W113" s="120"/>
    </row>
    <row r="114" spans="1:23" ht="15.75">
      <c r="A114" s="41" t="s">
        <v>480</v>
      </c>
      <c r="B114" s="41" t="s">
        <v>481</v>
      </c>
      <c r="C114" s="112" t="s">
        <v>621</v>
      </c>
      <c r="D114" s="144" t="s">
        <v>684</v>
      </c>
      <c r="E114" s="32" t="s">
        <v>20</v>
      </c>
      <c r="F114" s="145" t="s">
        <v>473</v>
      </c>
      <c r="G114" s="202">
        <v>17308</v>
      </c>
      <c r="H114" s="43">
        <v>80000</v>
      </c>
      <c r="I114" s="34">
        <v>795.68</v>
      </c>
      <c r="N114" s="38" t="s">
        <v>21</v>
      </c>
      <c r="O114" s="38" t="s">
        <v>21</v>
      </c>
      <c r="P114" s="38" t="s">
        <v>21</v>
      </c>
      <c r="Q114" s="38" t="s">
        <v>21</v>
      </c>
      <c r="R114" s="119" t="s">
        <v>27</v>
      </c>
      <c r="S114" s="198">
        <v>45938</v>
      </c>
      <c r="T114" s="119" t="s">
        <v>28</v>
      </c>
      <c r="U114" s="158">
        <v>45971</v>
      </c>
      <c r="V114" s="38" t="s">
        <v>26</v>
      </c>
      <c r="W114" s="287"/>
    </row>
    <row r="115" spans="1:23" ht="15.75">
      <c r="A115" s="122" t="s">
        <v>484</v>
      </c>
      <c r="B115" s="122" t="s">
        <v>485</v>
      </c>
      <c r="C115" s="112" t="s">
        <v>621</v>
      </c>
      <c r="D115" s="144" t="s">
        <v>684</v>
      </c>
      <c r="E115" s="32" t="s">
        <v>20</v>
      </c>
      <c r="F115" s="33" t="s">
        <v>475</v>
      </c>
      <c r="G115" s="202">
        <v>17308</v>
      </c>
      <c r="H115" s="134">
        <v>120000</v>
      </c>
      <c r="I115" s="134">
        <v>1053.45</v>
      </c>
      <c r="N115" s="38" t="s">
        <v>21</v>
      </c>
      <c r="O115" s="38" t="s">
        <v>21</v>
      </c>
      <c r="P115" s="38" t="s">
        <v>21</v>
      </c>
      <c r="Q115" s="38" t="s">
        <v>21</v>
      </c>
      <c r="R115" s="119" t="s">
        <v>27</v>
      </c>
      <c r="S115" s="198">
        <v>45938</v>
      </c>
      <c r="T115" s="119" t="s">
        <v>28</v>
      </c>
      <c r="U115" s="158">
        <v>45975</v>
      </c>
      <c r="V115" s="38" t="s">
        <v>26</v>
      </c>
      <c r="W115" s="287"/>
    </row>
    <row r="116" spans="1:23" ht="15.75">
      <c r="A116" s="122" t="s">
        <v>486</v>
      </c>
      <c r="B116" s="122" t="s">
        <v>487</v>
      </c>
      <c r="C116" s="112" t="s">
        <v>621</v>
      </c>
      <c r="D116" s="144" t="s">
        <v>684</v>
      </c>
      <c r="E116" s="32" t="s">
        <v>20</v>
      </c>
      <c r="F116" s="221" t="s">
        <v>474</v>
      </c>
      <c r="G116" s="202">
        <v>17308</v>
      </c>
      <c r="H116" s="220">
        <v>101000</v>
      </c>
      <c r="I116" s="34">
        <v>649.30999999999995</v>
      </c>
      <c r="N116" s="38" t="s">
        <v>21</v>
      </c>
      <c r="O116" s="38" t="s">
        <v>21</v>
      </c>
      <c r="P116" s="38" t="s">
        <v>21</v>
      </c>
      <c r="Q116" s="38" t="s">
        <v>21</v>
      </c>
      <c r="R116" s="119" t="s">
        <v>27</v>
      </c>
      <c r="S116" s="198">
        <v>45940</v>
      </c>
      <c r="T116" s="119" t="s">
        <v>28</v>
      </c>
      <c r="U116" s="158">
        <v>45968</v>
      </c>
      <c r="V116" s="38" t="s">
        <v>26</v>
      </c>
      <c r="W116" s="287"/>
    </row>
    <row r="117" spans="1:23" ht="15.75">
      <c r="A117" s="122" t="s">
        <v>488</v>
      </c>
      <c r="B117" s="122" t="s">
        <v>489</v>
      </c>
      <c r="C117" s="112" t="s">
        <v>621</v>
      </c>
      <c r="D117" s="31" t="s">
        <v>670</v>
      </c>
      <c r="E117" s="32" t="s">
        <v>20</v>
      </c>
      <c r="F117" s="145" t="s">
        <v>555</v>
      </c>
      <c r="G117" s="202">
        <v>17308</v>
      </c>
      <c r="H117" s="220">
        <v>101000</v>
      </c>
      <c r="I117" s="34">
        <v>649.30999999999995</v>
      </c>
      <c r="N117" s="38" t="s">
        <v>21</v>
      </c>
      <c r="O117" s="38" t="s">
        <v>21</v>
      </c>
      <c r="P117" s="38" t="s">
        <v>21</v>
      </c>
      <c r="Q117" s="38" t="s">
        <v>21</v>
      </c>
      <c r="R117" s="119" t="s">
        <v>27</v>
      </c>
      <c r="S117" s="198">
        <v>45940</v>
      </c>
      <c r="T117" s="119" t="s">
        <v>28</v>
      </c>
      <c r="U117" s="158">
        <v>45959</v>
      </c>
      <c r="V117" s="38" t="s">
        <v>26</v>
      </c>
      <c r="W117" s="287"/>
    </row>
    <row r="118" spans="1:23" ht="15.75">
      <c r="A118" s="122" t="s">
        <v>497</v>
      </c>
      <c r="B118" s="122" t="s">
        <v>498</v>
      </c>
      <c r="C118" s="112" t="s">
        <v>621</v>
      </c>
      <c r="D118" s="144" t="s">
        <v>684</v>
      </c>
      <c r="E118" s="32" t="s">
        <v>20</v>
      </c>
      <c r="F118" s="45" t="s">
        <v>490</v>
      </c>
      <c r="G118" s="202">
        <v>17308</v>
      </c>
      <c r="H118" s="220">
        <v>101000</v>
      </c>
      <c r="I118" s="34">
        <v>649.30999999999995</v>
      </c>
      <c r="J118" s="120"/>
      <c r="K118" s="120"/>
      <c r="L118" s="219"/>
      <c r="M118" s="219"/>
      <c r="N118" s="38" t="s">
        <v>21</v>
      </c>
      <c r="O118" s="38" t="s">
        <v>21</v>
      </c>
      <c r="P118" s="38" t="s">
        <v>21</v>
      </c>
      <c r="Q118" s="38" t="s">
        <v>21</v>
      </c>
      <c r="R118" s="119" t="s">
        <v>27</v>
      </c>
      <c r="S118" s="198">
        <v>45941</v>
      </c>
      <c r="T118" s="119" t="s">
        <v>28</v>
      </c>
      <c r="U118" s="158">
        <v>45971</v>
      </c>
      <c r="V118" s="38" t="s">
        <v>26</v>
      </c>
      <c r="W118" s="287"/>
    </row>
    <row r="119" spans="1:23" ht="15.75">
      <c r="A119" s="122" t="s">
        <v>499</v>
      </c>
      <c r="B119" s="122" t="s">
        <v>500</v>
      </c>
      <c r="C119" s="112" t="s">
        <v>621</v>
      </c>
      <c r="D119" s="144"/>
      <c r="E119" s="162" t="s">
        <v>295</v>
      </c>
      <c r="F119" s="274" t="s">
        <v>491</v>
      </c>
      <c r="G119" s="202">
        <v>17308</v>
      </c>
      <c r="H119" s="220">
        <v>101000</v>
      </c>
      <c r="I119" s="34">
        <v>649.30999999999995</v>
      </c>
      <c r="J119" s="120"/>
      <c r="K119" s="120"/>
      <c r="L119" s="219"/>
      <c r="M119" s="219"/>
      <c r="N119" s="38" t="s">
        <v>21</v>
      </c>
      <c r="O119" s="38" t="s">
        <v>21</v>
      </c>
      <c r="P119" s="38" t="s">
        <v>21</v>
      </c>
      <c r="Q119" s="38" t="s">
        <v>21</v>
      </c>
      <c r="R119" s="119" t="s">
        <v>27</v>
      </c>
      <c r="S119" s="198">
        <v>45943</v>
      </c>
      <c r="T119" s="163" t="s">
        <v>28</v>
      </c>
      <c r="U119" s="163"/>
      <c r="V119" s="38" t="s">
        <v>26</v>
      </c>
      <c r="W119" s="120"/>
    </row>
    <row r="120" spans="1:23" ht="15.75">
      <c r="A120" s="122" t="s">
        <v>494</v>
      </c>
      <c r="B120" s="122" t="s">
        <v>495</v>
      </c>
      <c r="C120" s="112" t="s">
        <v>621</v>
      </c>
      <c r="D120" s="144" t="s">
        <v>684</v>
      </c>
      <c r="E120" s="32" t="s">
        <v>20</v>
      </c>
      <c r="F120" s="33" t="s">
        <v>493</v>
      </c>
      <c r="G120" s="202">
        <v>17308</v>
      </c>
      <c r="H120" s="134">
        <v>130000</v>
      </c>
      <c r="I120" s="134">
        <v>835.74</v>
      </c>
      <c r="J120" s="120"/>
      <c r="K120" s="120"/>
      <c r="L120" s="219"/>
      <c r="M120" s="219"/>
      <c r="N120" s="38" t="s">
        <v>21</v>
      </c>
      <c r="O120" s="38" t="s">
        <v>21</v>
      </c>
      <c r="P120" s="38" t="s">
        <v>21</v>
      </c>
      <c r="Q120" s="38" t="s">
        <v>21</v>
      </c>
      <c r="R120" s="119" t="s">
        <v>27</v>
      </c>
      <c r="S120" s="198">
        <v>45943</v>
      </c>
      <c r="T120" s="119" t="s">
        <v>28</v>
      </c>
      <c r="U120" s="158">
        <v>45975</v>
      </c>
      <c r="V120" s="38" t="s">
        <v>26</v>
      </c>
      <c r="W120" s="287"/>
    </row>
    <row r="121" spans="1:23" ht="15.75">
      <c r="A121" s="122" t="s">
        <v>505</v>
      </c>
      <c r="B121" s="122" t="s">
        <v>506</v>
      </c>
      <c r="C121" s="112" t="s">
        <v>621</v>
      </c>
      <c r="D121" s="144" t="s">
        <v>684</v>
      </c>
      <c r="E121" s="32" t="s">
        <v>20</v>
      </c>
      <c r="F121" s="33" t="s">
        <v>496</v>
      </c>
      <c r="G121" s="133">
        <v>24627</v>
      </c>
      <c r="H121" s="220">
        <v>101000</v>
      </c>
      <c r="I121" s="34">
        <v>649.30999999999995</v>
      </c>
      <c r="J121" s="120"/>
      <c r="K121" s="120"/>
      <c r="L121" s="219"/>
      <c r="M121" s="219"/>
      <c r="N121" s="38" t="s">
        <v>21</v>
      </c>
      <c r="O121" s="38" t="s">
        <v>21</v>
      </c>
      <c r="P121" s="38" t="s">
        <v>21</v>
      </c>
      <c r="Q121" s="38" t="s">
        <v>21</v>
      </c>
      <c r="R121" s="119" t="s">
        <v>27</v>
      </c>
      <c r="S121" s="198">
        <v>45944</v>
      </c>
      <c r="T121" s="119" t="s">
        <v>28</v>
      </c>
      <c r="U121" s="158">
        <v>45974</v>
      </c>
      <c r="V121" s="38" t="s">
        <v>26</v>
      </c>
      <c r="W121" s="120"/>
    </row>
    <row r="122" spans="1:23" ht="15.75">
      <c r="A122" s="122" t="s">
        <v>507</v>
      </c>
      <c r="B122" s="122" t="s">
        <v>508</v>
      </c>
      <c r="C122" s="112" t="s">
        <v>621</v>
      </c>
      <c r="D122" s="144"/>
      <c r="E122" s="162" t="s">
        <v>295</v>
      </c>
      <c r="F122" s="274" t="s">
        <v>501</v>
      </c>
      <c r="G122" s="133">
        <v>24627</v>
      </c>
      <c r="H122" s="220">
        <v>280000</v>
      </c>
      <c r="I122" s="142">
        <v>1699.88</v>
      </c>
      <c r="J122" s="120"/>
      <c r="K122" s="120"/>
      <c r="L122" s="219"/>
      <c r="M122" s="219"/>
      <c r="N122" s="38" t="s">
        <v>21</v>
      </c>
      <c r="O122" s="38" t="s">
        <v>21</v>
      </c>
      <c r="P122" s="38" t="s">
        <v>21</v>
      </c>
      <c r="Q122" s="38" t="s">
        <v>21</v>
      </c>
      <c r="R122" s="119" t="s">
        <v>27</v>
      </c>
      <c r="S122" s="198">
        <v>45944</v>
      </c>
      <c r="T122" s="163" t="s">
        <v>28</v>
      </c>
      <c r="U122" s="163"/>
      <c r="V122" s="38" t="s">
        <v>26</v>
      </c>
      <c r="W122" s="120"/>
    </row>
    <row r="123" spans="1:23" ht="15.75">
      <c r="A123" s="122" t="s">
        <v>509</v>
      </c>
      <c r="B123" s="122" t="s">
        <v>510</v>
      </c>
      <c r="C123" s="112" t="s">
        <v>636</v>
      </c>
      <c r="D123" s="144" t="s">
        <v>684</v>
      </c>
      <c r="E123" s="32" t="s">
        <v>20</v>
      </c>
      <c r="F123" s="33" t="s">
        <v>503</v>
      </c>
      <c r="G123" s="133">
        <v>24627</v>
      </c>
      <c r="H123" s="220">
        <v>180000</v>
      </c>
      <c r="I123" s="34">
        <v>1157.18</v>
      </c>
      <c r="N123" s="38" t="s">
        <v>21</v>
      </c>
      <c r="O123" s="38" t="s">
        <v>21</v>
      </c>
      <c r="P123" s="38" t="s">
        <v>21</v>
      </c>
      <c r="Q123" s="38" t="s">
        <v>21</v>
      </c>
      <c r="R123" s="119" t="s">
        <v>27</v>
      </c>
      <c r="S123" s="198">
        <v>45944</v>
      </c>
      <c r="T123" s="119" t="s">
        <v>28</v>
      </c>
      <c r="U123" s="158">
        <v>45972</v>
      </c>
      <c r="V123" s="38" t="s">
        <v>26</v>
      </c>
      <c r="W123" s="120"/>
    </row>
    <row r="124" spans="1:23" ht="15.75">
      <c r="A124" s="222" t="s">
        <v>516</v>
      </c>
      <c r="B124" s="222" t="s">
        <v>517</v>
      </c>
      <c r="C124" s="112" t="s">
        <v>621</v>
      </c>
      <c r="D124" s="144" t="s">
        <v>684</v>
      </c>
      <c r="E124" s="135" t="s">
        <v>20</v>
      </c>
      <c r="F124" s="230" t="s">
        <v>504</v>
      </c>
      <c r="G124" s="231">
        <v>24627</v>
      </c>
      <c r="H124" s="137">
        <v>60000</v>
      </c>
      <c r="I124" s="138">
        <v>549.12</v>
      </c>
      <c r="N124" s="140" t="s">
        <v>21</v>
      </c>
      <c r="O124" s="38" t="s">
        <v>21</v>
      </c>
      <c r="P124" s="38" t="s">
        <v>21</v>
      </c>
      <c r="Q124" s="38" t="s">
        <v>21</v>
      </c>
      <c r="R124" s="38" t="s">
        <v>21</v>
      </c>
      <c r="S124" s="38" t="s">
        <v>21</v>
      </c>
      <c r="T124" s="119" t="s">
        <v>27</v>
      </c>
      <c r="U124" s="198">
        <v>45945</v>
      </c>
      <c r="V124" s="38" t="s">
        <v>28</v>
      </c>
      <c r="W124" s="120"/>
    </row>
    <row r="125" spans="1:23" ht="15.75">
      <c r="A125" s="122" t="s">
        <v>522</v>
      </c>
      <c r="B125" s="30" t="s">
        <v>523</v>
      </c>
      <c r="C125" s="112" t="s">
        <v>621</v>
      </c>
      <c r="D125" s="144" t="s">
        <v>684</v>
      </c>
      <c r="E125" s="32" t="s">
        <v>20</v>
      </c>
      <c r="F125" s="33" t="s">
        <v>515</v>
      </c>
      <c r="G125" s="202">
        <v>17308</v>
      </c>
      <c r="H125" s="43">
        <v>60000</v>
      </c>
      <c r="I125" s="34">
        <v>549.12</v>
      </c>
      <c r="J125" s="120"/>
      <c r="K125" s="120"/>
      <c r="L125" s="219"/>
      <c r="M125" s="219"/>
      <c r="N125" s="38" t="s">
        <v>21</v>
      </c>
      <c r="O125" s="38" t="s">
        <v>21</v>
      </c>
      <c r="P125" s="38" t="s">
        <v>21</v>
      </c>
      <c r="Q125" s="38" t="s">
        <v>21</v>
      </c>
      <c r="R125" s="38" t="s">
        <v>21</v>
      </c>
      <c r="S125" s="38" t="s">
        <v>21</v>
      </c>
      <c r="T125" s="119" t="s">
        <v>27</v>
      </c>
      <c r="U125" s="158">
        <v>45946</v>
      </c>
      <c r="V125" s="38" t="s">
        <v>28</v>
      </c>
      <c r="W125" s="287"/>
    </row>
    <row r="126" spans="1:23" ht="15.75">
      <c r="A126" s="30" t="s">
        <v>524</v>
      </c>
      <c r="B126" s="122" t="s">
        <v>525</v>
      </c>
      <c r="C126" s="112" t="s">
        <v>621</v>
      </c>
      <c r="D126" s="144" t="s">
        <v>684</v>
      </c>
      <c r="E126" s="32" t="s">
        <v>20</v>
      </c>
      <c r="F126" s="33" t="s">
        <v>520</v>
      </c>
      <c r="G126" s="133">
        <v>24627</v>
      </c>
      <c r="H126" s="43">
        <v>110000</v>
      </c>
      <c r="I126" s="34">
        <v>965.66</v>
      </c>
      <c r="J126" s="120"/>
      <c r="K126" s="120"/>
      <c r="L126" s="219"/>
      <c r="M126" s="219"/>
      <c r="N126" s="38" t="s">
        <v>21</v>
      </c>
      <c r="O126" s="38" t="s">
        <v>21</v>
      </c>
      <c r="P126" s="38" t="s">
        <v>21</v>
      </c>
      <c r="Q126" s="38" t="s">
        <v>21</v>
      </c>
      <c r="R126" s="38" t="s">
        <v>21</v>
      </c>
      <c r="S126" s="38" t="s">
        <v>21</v>
      </c>
      <c r="T126" s="119" t="s">
        <v>27</v>
      </c>
      <c r="U126" s="198">
        <v>45946</v>
      </c>
      <c r="V126" s="38" t="s">
        <v>28</v>
      </c>
      <c r="W126" s="120"/>
    </row>
    <row r="127" spans="1:23" ht="15.75">
      <c r="A127" s="122" t="s">
        <v>526</v>
      </c>
      <c r="B127" s="122" t="s">
        <v>527</v>
      </c>
      <c r="C127" s="112" t="s">
        <v>621</v>
      </c>
      <c r="D127" s="144" t="s">
        <v>684</v>
      </c>
      <c r="E127" s="32" t="s">
        <v>20</v>
      </c>
      <c r="F127" s="33" t="s">
        <v>521</v>
      </c>
      <c r="G127" s="133">
        <v>24627</v>
      </c>
      <c r="H127" s="43">
        <v>120000</v>
      </c>
      <c r="I127" s="34">
        <v>1053.45</v>
      </c>
      <c r="J127" s="120"/>
      <c r="K127" s="120"/>
      <c r="L127" s="219"/>
      <c r="M127" s="219"/>
      <c r="N127" s="38" t="s">
        <v>21</v>
      </c>
      <c r="O127" s="38" t="s">
        <v>21</v>
      </c>
      <c r="P127" s="38" t="s">
        <v>21</v>
      </c>
      <c r="Q127" s="38" t="s">
        <v>21</v>
      </c>
      <c r="R127" s="38" t="s">
        <v>21</v>
      </c>
      <c r="S127" s="38" t="s">
        <v>21</v>
      </c>
      <c r="T127" s="119" t="s">
        <v>27</v>
      </c>
      <c r="U127" s="198">
        <v>45946</v>
      </c>
      <c r="V127" s="38" t="s">
        <v>28</v>
      </c>
      <c r="W127" s="120"/>
    </row>
    <row r="128" spans="1:23" ht="15.75">
      <c r="A128" s="122" t="s">
        <v>535</v>
      </c>
      <c r="B128" s="122" t="s">
        <v>536</v>
      </c>
      <c r="C128" s="112" t="s">
        <v>621</v>
      </c>
      <c r="D128" s="144" t="s">
        <v>684</v>
      </c>
      <c r="E128" s="32" t="s">
        <v>20</v>
      </c>
      <c r="F128" s="33" t="s">
        <v>534</v>
      </c>
      <c r="G128" s="133">
        <v>24627</v>
      </c>
      <c r="H128" s="43">
        <v>110000</v>
      </c>
      <c r="I128" s="34">
        <v>965.66</v>
      </c>
      <c r="J128" s="120"/>
      <c r="K128" s="120"/>
      <c r="L128" s="219"/>
      <c r="M128" s="219"/>
      <c r="N128" s="38" t="s">
        <v>21</v>
      </c>
      <c r="O128" s="38" t="s">
        <v>21</v>
      </c>
      <c r="P128" s="38" t="s">
        <v>21</v>
      </c>
      <c r="Q128" s="38" t="s">
        <v>21</v>
      </c>
      <c r="R128" s="38" t="s">
        <v>21</v>
      </c>
      <c r="S128" s="38" t="s">
        <v>21</v>
      </c>
      <c r="T128" s="119" t="s">
        <v>27</v>
      </c>
      <c r="U128" s="198">
        <v>45950</v>
      </c>
      <c r="V128" s="38" t="s">
        <v>28</v>
      </c>
      <c r="W128" s="120"/>
    </row>
    <row r="129" spans="1:23" ht="15.75">
      <c r="A129" s="122" t="s">
        <v>531</v>
      </c>
      <c r="B129" s="122" t="s">
        <v>532</v>
      </c>
      <c r="C129" s="112" t="s">
        <v>621</v>
      </c>
      <c r="D129" s="144" t="s">
        <v>684</v>
      </c>
      <c r="E129" s="32" t="s">
        <v>20</v>
      </c>
      <c r="F129" s="33" t="s">
        <v>528</v>
      </c>
      <c r="G129" s="133">
        <v>24627</v>
      </c>
      <c r="H129" s="43">
        <v>70000</v>
      </c>
      <c r="I129" s="34">
        <v>640.64</v>
      </c>
      <c r="J129" s="120"/>
      <c r="K129" s="120"/>
      <c r="L129" s="219"/>
      <c r="M129" s="219"/>
      <c r="N129" s="38" t="s">
        <v>21</v>
      </c>
      <c r="O129" s="38" t="s">
        <v>21</v>
      </c>
      <c r="P129" s="38" t="s">
        <v>21</v>
      </c>
      <c r="Q129" s="38" t="s">
        <v>21</v>
      </c>
      <c r="R129" s="38" t="s">
        <v>21</v>
      </c>
      <c r="S129" s="38" t="s">
        <v>21</v>
      </c>
      <c r="T129" s="119" t="s">
        <v>27</v>
      </c>
      <c r="U129" s="198">
        <v>45950</v>
      </c>
      <c r="V129" s="38" t="s">
        <v>28</v>
      </c>
      <c r="W129" s="120"/>
    </row>
    <row r="130" spans="1:23" ht="15.75">
      <c r="A130" s="122" t="s">
        <v>543</v>
      </c>
      <c r="B130" s="122" t="s">
        <v>544</v>
      </c>
      <c r="C130" s="112" t="s">
        <v>621</v>
      </c>
      <c r="D130" s="144"/>
      <c r="E130" s="190" t="s">
        <v>688</v>
      </c>
      <c r="F130" s="290" t="s">
        <v>533</v>
      </c>
      <c r="G130" s="133">
        <v>24627</v>
      </c>
      <c r="H130" s="43">
        <v>120000</v>
      </c>
      <c r="I130" s="34">
        <v>1053.45</v>
      </c>
      <c r="J130" s="120"/>
      <c r="K130" s="120"/>
      <c r="L130" s="219"/>
      <c r="M130" s="219"/>
      <c r="N130" s="38" t="s">
        <v>21</v>
      </c>
      <c r="O130" s="38" t="s">
        <v>21</v>
      </c>
      <c r="P130" s="38" t="s">
        <v>21</v>
      </c>
      <c r="Q130" s="38" t="s">
        <v>21</v>
      </c>
      <c r="R130" s="38" t="s">
        <v>21</v>
      </c>
      <c r="S130" s="38" t="s">
        <v>21</v>
      </c>
      <c r="T130" s="119" t="s">
        <v>27</v>
      </c>
      <c r="U130" s="198">
        <v>45952</v>
      </c>
      <c r="V130" s="38" t="s">
        <v>28</v>
      </c>
      <c r="W130" s="120"/>
    </row>
    <row r="131" spans="1:23" ht="15.75">
      <c r="A131" s="222" t="s">
        <v>545</v>
      </c>
      <c r="B131" s="222" t="s">
        <v>546</v>
      </c>
      <c r="C131" s="112" t="s">
        <v>621</v>
      </c>
      <c r="D131" s="144" t="s">
        <v>684</v>
      </c>
      <c r="E131" s="135" t="s">
        <v>20</v>
      </c>
      <c r="F131" s="230" t="s">
        <v>539</v>
      </c>
      <c r="G131" s="231">
        <v>24627</v>
      </c>
      <c r="H131" s="152">
        <v>140000</v>
      </c>
      <c r="I131" s="184">
        <v>1229.02</v>
      </c>
      <c r="N131" s="140" t="s">
        <v>21</v>
      </c>
      <c r="O131" s="140" t="s">
        <v>21</v>
      </c>
      <c r="P131" s="140" t="s">
        <v>21</v>
      </c>
      <c r="Q131" s="140" t="s">
        <v>21</v>
      </c>
      <c r="R131" s="140" t="s">
        <v>21</v>
      </c>
      <c r="S131" s="140" t="s">
        <v>21</v>
      </c>
      <c r="T131" s="141" t="s">
        <v>27</v>
      </c>
      <c r="U131" s="200">
        <v>45953</v>
      </c>
      <c r="V131" s="38" t="s">
        <v>28</v>
      </c>
      <c r="W131" s="120"/>
    </row>
    <row r="132" spans="1:23" ht="15.75">
      <c r="A132" s="261" t="s">
        <v>587</v>
      </c>
      <c r="B132" s="122" t="s">
        <v>588</v>
      </c>
      <c r="C132" s="112" t="s">
        <v>621</v>
      </c>
      <c r="D132" s="144" t="s">
        <v>684</v>
      </c>
      <c r="E132" s="32" t="s">
        <v>20</v>
      </c>
      <c r="F132" s="33" t="s">
        <v>540</v>
      </c>
      <c r="G132" s="110">
        <v>17308</v>
      </c>
      <c r="H132" s="43">
        <v>110000</v>
      </c>
      <c r="I132" s="34">
        <v>965.66</v>
      </c>
      <c r="J132" s="120"/>
      <c r="K132" s="120"/>
      <c r="L132" s="219"/>
      <c r="M132" s="219"/>
      <c r="N132" s="38" t="s">
        <v>21</v>
      </c>
      <c r="O132" s="38" t="s">
        <v>21</v>
      </c>
      <c r="P132" s="38" t="s">
        <v>21</v>
      </c>
      <c r="Q132" s="38" t="s">
        <v>21</v>
      </c>
      <c r="R132" s="38" t="s">
        <v>21</v>
      </c>
      <c r="S132" s="38" t="s">
        <v>21</v>
      </c>
      <c r="T132" s="119" t="s">
        <v>27</v>
      </c>
      <c r="U132" s="198">
        <v>45953</v>
      </c>
      <c r="V132" s="38" t="s">
        <v>28</v>
      </c>
      <c r="W132" s="287"/>
    </row>
    <row r="133" spans="1:23" ht="15.75">
      <c r="A133" s="122" t="s">
        <v>549</v>
      </c>
      <c r="B133" s="122" t="s">
        <v>550</v>
      </c>
      <c r="C133" s="112" t="s">
        <v>621</v>
      </c>
      <c r="D133" s="144" t="s">
        <v>684</v>
      </c>
      <c r="E133" s="32" t="s">
        <v>20</v>
      </c>
      <c r="F133" s="33" t="s">
        <v>542</v>
      </c>
      <c r="G133" s="133">
        <v>24627</v>
      </c>
      <c r="H133" s="43">
        <v>300000</v>
      </c>
      <c r="I133" s="34">
        <v>1821.3</v>
      </c>
      <c r="J133" s="120"/>
      <c r="K133" s="120"/>
      <c r="L133" s="219"/>
      <c r="M133" s="219"/>
      <c r="N133" s="38" t="s">
        <v>21</v>
      </c>
      <c r="O133" s="38" t="s">
        <v>21</v>
      </c>
      <c r="P133" s="38" t="s">
        <v>21</v>
      </c>
      <c r="Q133" s="38" t="s">
        <v>21</v>
      </c>
      <c r="R133" s="38" t="s">
        <v>21</v>
      </c>
      <c r="S133" s="38" t="s">
        <v>21</v>
      </c>
      <c r="T133" s="119" t="s">
        <v>27</v>
      </c>
      <c r="U133" s="198">
        <v>45954</v>
      </c>
      <c r="V133" s="38" t="s">
        <v>28</v>
      </c>
      <c r="W133" s="120"/>
    </row>
    <row r="134" spans="1:23" ht="15.75">
      <c r="A134" s="122" t="s">
        <v>551</v>
      </c>
      <c r="B134" s="122" t="s">
        <v>552</v>
      </c>
      <c r="C134" s="112" t="s">
        <v>621</v>
      </c>
      <c r="D134" s="144" t="s">
        <v>684</v>
      </c>
      <c r="E134" s="32" t="s">
        <v>20</v>
      </c>
      <c r="F134" s="33" t="s">
        <v>548</v>
      </c>
      <c r="G134" s="133">
        <v>24627</v>
      </c>
      <c r="H134" s="43">
        <v>70000</v>
      </c>
      <c r="I134" s="34">
        <v>640.64</v>
      </c>
      <c r="J134" s="120"/>
      <c r="K134" s="120"/>
      <c r="L134" s="219"/>
      <c r="M134" s="219"/>
      <c r="N134" s="38" t="s">
        <v>21</v>
      </c>
      <c r="O134" s="38" t="s">
        <v>21</v>
      </c>
      <c r="P134" s="38" t="s">
        <v>21</v>
      </c>
      <c r="Q134" s="38" t="s">
        <v>21</v>
      </c>
      <c r="R134" s="38" t="s">
        <v>21</v>
      </c>
      <c r="S134" s="38" t="s">
        <v>21</v>
      </c>
      <c r="T134" s="119" t="s">
        <v>27</v>
      </c>
      <c r="U134" s="198">
        <v>45954</v>
      </c>
      <c r="V134" s="38" t="s">
        <v>28</v>
      </c>
      <c r="W134" s="120"/>
    </row>
    <row r="135" spans="1:23" ht="15.75">
      <c r="A135" s="122" t="s">
        <v>563</v>
      </c>
      <c r="B135" s="122" t="s">
        <v>564</v>
      </c>
      <c r="C135" s="112" t="s">
        <v>621</v>
      </c>
      <c r="D135" s="144" t="s">
        <v>684</v>
      </c>
      <c r="E135" s="32" t="s">
        <v>20</v>
      </c>
      <c r="F135" s="33" t="s">
        <v>554</v>
      </c>
      <c r="G135" s="133">
        <v>24627</v>
      </c>
      <c r="H135" s="43">
        <v>100000</v>
      </c>
      <c r="I135" s="34">
        <v>1578.88</v>
      </c>
      <c r="J135" s="120"/>
      <c r="K135" s="120"/>
      <c r="L135" s="219"/>
      <c r="M135" s="219"/>
      <c r="N135" s="38" t="s">
        <v>21</v>
      </c>
      <c r="O135" s="38" t="s">
        <v>21</v>
      </c>
      <c r="P135" s="38" t="s">
        <v>21</v>
      </c>
      <c r="Q135" s="38" t="s">
        <v>21</v>
      </c>
      <c r="R135" s="38" t="s">
        <v>21</v>
      </c>
      <c r="S135" s="38" t="s">
        <v>21</v>
      </c>
      <c r="T135" s="119" t="s">
        <v>27</v>
      </c>
      <c r="U135" s="198">
        <v>45957</v>
      </c>
      <c r="V135" s="38" t="s">
        <v>28</v>
      </c>
      <c r="W135" s="120"/>
    </row>
    <row r="136" spans="1:23" ht="15.75">
      <c r="A136" s="122" t="s">
        <v>565</v>
      </c>
      <c r="B136" s="122" t="s">
        <v>566</v>
      </c>
      <c r="C136" s="112" t="s">
        <v>621</v>
      </c>
      <c r="D136" s="144" t="s">
        <v>684</v>
      </c>
      <c r="E136" s="32" t="s">
        <v>20</v>
      </c>
      <c r="F136" s="33" t="s">
        <v>558</v>
      </c>
      <c r="G136" s="133">
        <v>24627</v>
      </c>
      <c r="H136" s="43">
        <v>110000</v>
      </c>
      <c r="I136" s="34">
        <v>965.66</v>
      </c>
      <c r="J136" s="120"/>
      <c r="K136" s="120"/>
      <c r="L136" s="219"/>
      <c r="M136" s="219"/>
      <c r="N136" s="38" t="s">
        <v>21</v>
      </c>
      <c r="O136" s="38" t="s">
        <v>21</v>
      </c>
      <c r="P136" s="38" t="s">
        <v>21</v>
      </c>
      <c r="Q136" s="38" t="s">
        <v>21</v>
      </c>
      <c r="R136" s="38" t="s">
        <v>21</v>
      </c>
      <c r="S136" s="38" t="s">
        <v>21</v>
      </c>
      <c r="T136" s="119" t="s">
        <v>27</v>
      </c>
      <c r="U136" s="198">
        <v>45958</v>
      </c>
      <c r="V136" s="38" t="s">
        <v>28</v>
      </c>
      <c r="W136" s="120"/>
    </row>
    <row r="137" spans="1:23" ht="15.75">
      <c r="A137" s="122" t="s">
        <v>567</v>
      </c>
      <c r="B137" s="122" t="s">
        <v>568</v>
      </c>
      <c r="C137" s="112" t="s">
        <v>621</v>
      </c>
      <c r="D137" s="144" t="s">
        <v>684</v>
      </c>
      <c r="E137" s="32" t="s">
        <v>20</v>
      </c>
      <c r="F137" s="33" t="s">
        <v>561</v>
      </c>
      <c r="G137" s="133">
        <v>24627</v>
      </c>
      <c r="H137" s="43">
        <v>70000</v>
      </c>
      <c r="I137" s="34">
        <v>640.64</v>
      </c>
      <c r="J137" s="120"/>
      <c r="K137" s="120"/>
      <c r="L137" s="219"/>
      <c r="M137" s="219"/>
      <c r="N137" s="38" t="s">
        <v>21</v>
      </c>
      <c r="O137" s="38" t="s">
        <v>21</v>
      </c>
      <c r="P137" s="38" t="s">
        <v>21</v>
      </c>
      <c r="Q137" s="38" t="s">
        <v>21</v>
      </c>
      <c r="R137" s="38" t="s">
        <v>21</v>
      </c>
      <c r="S137" s="38" t="s">
        <v>21</v>
      </c>
      <c r="T137" s="119" t="s">
        <v>27</v>
      </c>
      <c r="U137" s="198">
        <v>45958</v>
      </c>
      <c r="V137" s="38" t="s">
        <v>28</v>
      </c>
      <c r="W137" s="120"/>
    </row>
    <row r="138" spans="1:23" ht="15.75">
      <c r="A138" s="122" t="s">
        <v>570</v>
      </c>
      <c r="B138" s="122" t="s">
        <v>569</v>
      </c>
      <c r="C138" s="112" t="s">
        <v>621</v>
      </c>
      <c r="D138" s="144" t="s">
        <v>684</v>
      </c>
      <c r="E138" s="32" t="s">
        <v>20</v>
      </c>
      <c r="F138" s="33" t="s">
        <v>562</v>
      </c>
      <c r="G138" s="202">
        <v>17308</v>
      </c>
      <c r="H138" s="43">
        <v>80000</v>
      </c>
      <c r="I138" s="34">
        <v>732.17</v>
      </c>
      <c r="J138" s="120"/>
      <c r="K138" s="120"/>
      <c r="L138" s="219"/>
      <c r="M138" s="219"/>
      <c r="N138" s="38" t="s">
        <v>21</v>
      </c>
      <c r="O138" s="38" t="s">
        <v>21</v>
      </c>
      <c r="P138" s="38" t="s">
        <v>21</v>
      </c>
      <c r="Q138" s="38" t="s">
        <v>21</v>
      </c>
      <c r="R138" s="38" t="s">
        <v>21</v>
      </c>
      <c r="S138" s="38" t="s">
        <v>21</v>
      </c>
      <c r="T138" s="119" t="s">
        <v>27</v>
      </c>
      <c r="U138" s="158">
        <v>45958</v>
      </c>
      <c r="V138" s="38" t="s">
        <v>28</v>
      </c>
      <c r="W138" s="287"/>
    </row>
    <row r="139" spans="1:23" ht="15.75">
      <c r="A139" s="122" t="s">
        <v>585</v>
      </c>
      <c r="B139" s="122" t="s">
        <v>586</v>
      </c>
      <c r="C139" s="112" t="s">
        <v>621</v>
      </c>
      <c r="D139" s="144" t="s">
        <v>684</v>
      </c>
      <c r="E139" s="32" t="s">
        <v>20</v>
      </c>
      <c r="F139" s="33" t="s">
        <v>572</v>
      </c>
      <c r="G139" s="133">
        <v>24627</v>
      </c>
      <c r="H139" s="43">
        <v>240000</v>
      </c>
      <c r="I139" s="34">
        <v>1457.04</v>
      </c>
      <c r="J139" s="120"/>
      <c r="K139" s="120"/>
      <c r="L139" s="219"/>
      <c r="M139" s="219"/>
      <c r="N139" s="38" t="s">
        <v>21</v>
      </c>
      <c r="O139" s="38" t="s">
        <v>21</v>
      </c>
      <c r="P139" s="38" t="s">
        <v>21</v>
      </c>
      <c r="Q139" s="38" t="s">
        <v>21</v>
      </c>
      <c r="R139" s="38" t="s">
        <v>21</v>
      </c>
      <c r="S139" s="38" t="s">
        <v>21</v>
      </c>
      <c r="T139" s="119" t="s">
        <v>27</v>
      </c>
      <c r="U139" s="198">
        <v>45959</v>
      </c>
      <c r="V139" s="38" t="s">
        <v>28</v>
      </c>
      <c r="W139" s="120"/>
    </row>
    <row r="140" spans="1:23" ht="15.75">
      <c r="A140" s="122" t="s">
        <v>583</v>
      </c>
      <c r="B140" s="122" t="s">
        <v>584</v>
      </c>
      <c r="C140" s="112" t="s">
        <v>621</v>
      </c>
      <c r="D140" s="144" t="s">
        <v>684</v>
      </c>
      <c r="E140" s="32" t="s">
        <v>20</v>
      </c>
      <c r="F140" s="33" t="s">
        <v>574</v>
      </c>
      <c r="G140" s="133">
        <v>24627</v>
      </c>
      <c r="H140" s="43">
        <v>51000</v>
      </c>
      <c r="I140" s="34">
        <v>466.76</v>
      </c>
      <c r="J140" s="120"/>
      <c r="K140" s="120"/>
      <c r="L140" s="219"/>
      <c r="M140" s="219"/>
      <c r="N140" s="38" t="s">
        <v>21</v>
      </c>
      <c r="O140" s="38" t="s">
        <v>21</v>
      </c>
      <c r="P140" s="38" t="s">
        <v>21</v>
      </c>
      <c r="Q140" s="38" t="s">
        <v>21</v>
      </c>
      <c r="R140" s="38" t="s">
        <v>21</v>
      </c>
      <c r="S140" s="38" t="s">
        <v>21</v>
      </c>
      <c r="T140" s="119" t="s">
        <v>27</v>
      </c>
      <c r="U140" s="198">
        <v>45959</v>
      </c>
      <c r="V140" s="38" t="s">
        <v>28</v>
      </c>
      <c r="W140" s="120"/>
    </row>
    <row r="141" spans="1:23" ht="15.75">
      <c r="A141" s="122" t="s">
        <v>581</v>
      </c>
      <c r="B141" s="122" t="s">
        <v>582</v>
      </c>
      <c r="C141" s="112" t="s">
        <v>621</v>
      </c>
      <c r="D141" s="144" t="s">
        <v>684</v>
      </c>
      <c r="E141" s="32" t="s">
        <v>20</v>
      </c>
      <c r="F141" s="33" t="s">
        <v>573</v>
      </c>
      <c r="G141" s="250">
        <v>24627</v>
      </c>
      <c r="H141" s="43">
        <v>90000</v>
      </c>
      <c r="I141" s="34">
        <v>823.69</v>
      </c>
      <c r="J141" s="251"/>
      <c r="K141" s="120"/>
      <c r="L141" s="219"/>
      <c r="M141" s="219"/>
      <c r="N141" s="38" t="s">
        <v>21</v>
      </c>
      <c r="O141" s="38" t="s">
        <v>21</v>
      </c>
      <c r="P141" s="38" t="s">
        <v>21</v>
      </c>
      <c r="Q141" s="38" t="s">
        <v>21</v>
      </c>
      <c r="R141" s="38" t="s">
        <v>21</v>
      </c>
      <c r="S141" s="38" t="s">
        <v>21</v>
      </c>
      <c r="T141" s="119" t="s">
        <v>27</v>
      </c>
      <c r="U141" s="198">
        <v>45959</v>
      </c>
      <c r="V141" s="38" t="s">
        <v>28</v>
      </c>
      <c r="W141" s="120"/>
    </row>
    <row r="142" spans="1:23" ht="15.75">
      <c r="A142" s="122" t="s">
        <v>577</v>
      </c>
      <c r="B142" s="122" t="s">
        <v>578</v>
      </c>
      <c r="C142" s="112" t="s">
        <v>621</v>
      </c>
      <c r="D142" s="144" t="s">
        <v>684</v>
      </c>
      <c r="E142" s="32" t="s">
        <v>20</v>
      </c>
      <c r="F142" s="33" t="s">
        <v>575</v>
      </c>
      <c r="G142" s="133">
        <v>24627</v>
      </c>
      <c r="H142" s="43">
        <v>101000</v>
      </c>
      <c r="I142" s="34">
        <v>649.30999999999995</v>
      </c>
      <c r="N142" s="38" t="s">
        <v>21</v>
      </c>
      <c r="O142" s="38" t="s">
        <v>21</v>
      </c>
      <c r="P142" s="38" t="s">
        <v>21</v>
      </c>
      <c r="Q142" s="38" t="s">
        <v>21</v>
      </c>
      <c r="R142" s="38" t="s">
        <v>21</v>
      </c>
      <c r="S142" s="38" t="s">
        <v>21</v>
      </c>
      <c r="T142" s="119" t="s">
        <v>27</v>
      </c>
      <c r="U142" s="198">
        <v>45960</v>
      </c>
      <c r="V142" s="38" t="s">
        <v>28</v>
      </c>
      <c r="W142" s="120"/>
    </row>
    <row r="143" spans="1:23" ht="15.75">
      <c r="A143" s="122" t="s">
        <v>579</v>
      </c>
      <c r="B143" s="122" t="s">
        <v>580</v>
      </c>
      <c r="C143" s="112" t="s">
        <v>621</v>
      </c>
      <c r="D143" s="144" t="s">
        <v>684</v>
      </c>
      <c r="E143" s="32" t="s">
        <v>20</v>
      </c>
      <c r="F143" s="33" t="s">
        <v>576</v>
      </c>
      <c r="G143" s="133">
        <v>24627</v>
      </c>
      <c r="H143" s="43">
        <v>80000</v>
      </c>
      <c r="I143" s="34">
        <v>732.17</v>
      </c>
      <c r="N143" s="38" t="s">
        <v>21</v>
      </c>
      <c r="O143" s="38" t="s">
        <v>21</v>
      </c>
      <c r="P143" s="38" t="s">
        <v>21</v>
      </c>
      <c r="Q143" s="38" t="s">
        <v>21</v>
      </c>
      <c r="R143" s="38" t="s">
        <v>21</v>
      </c>
      <c r="S143" s="38" t="s">
        <v>21</v>
      </c>
      <c r="T143" s="119" t="s">
        <v>27</v>
      </c>
      <c r="U143" s="198">
        <v>45960</v>
      </c>
      <c r="V143" s="38" t="s">
        <v>28</v>
      </c>
      <c r="W143" s="120"/>
    </row>
    <row r="144" spans="1:23" ht="15.75">
      <c r="A144" s="122" t="s">
        <v>594</v>
      </c>
      <c r="B144" s="122" t="s">
        <v>595</v>
      </c>
      <c r="C144" s="112" t="s">
        <v>621</v>
      </c>
      <c r="D144" s="144" t="s">
        <v>684</v>
      </c>
      <c r="E144" s="32" t="s">
        <v>20</v>
      </c>
      <c r="F144" s="33" t="s">
        <v>590</v>
      </c>
      <c r="G144" s="133">
        <v>24627</v>
      </c>
      <c r="H144" s="252">
        <v>110000</v>
      </c>
      <c r="I144" s="252">
        <v>965.66</v>
      </c>
      <c r="N144" s="38" t="s">
        <v>21</v>
      </c>
      <c r="O144" s="38" t="s">
        <v>21</v>
      </c>
      <c r="P144" s="38" t="s">
        <v>21</v>
      </c>
      <c r="Q144" s="38" t="s">
        <v>21</v>
      </c>
      <c r="R144" s="38" t="s">
        <v>21</v>
      </c>
      <c r="S144" s="38" t="s">
        <v>21</v>
      </c>
      <c r="T144" s="119" t="s">
        <v>27</v>
      </c>
      <c r="U144" s="198">
        <v>45961</v>
      </c>
      <c r="V144" s="38" t="s">
        <v>28</v>
      </c>
      <c r="W144" s="120"/>
    </row>
    <row r="145" spans="1:23" ht="15.75">
      <c r="A145" s="122" t="s">
        <v>599</v>
      </c>
      <c r="B145" s="122" t="s">
        <v>600</v>
      </c>
      <c r="C145" s="112" t="s">
        <v>621</v>
      </c>
      <c r="D145" s="144" t="s">
        <v>684</v>
      </c>
      <c r="E145" s="32" t="s">
        <v>20</v>
      </c>
      <c r="F145" s="33" t="s">
        <v>592</v>
      </c>
      <c r="G145" s="133">
        <v>24627</v>
      </c>
      <c r="H145" s="43">
        <v>51000</v>
      </c>
      <c r="I145" s="34">
        <v>466.76</v>
      </c>
      <c r="N145" s="38" t="s">
        <v>21</v>
      </c>
      <c r="O145" s="38" t="s">
        <v>21</v>
      </c>
      <c r="P145" s="38" t="s">
        <v>21</v>
      </c>
      <c r="Q145" s="38" t="s">
        <v>21</v>
      </c>
      <c r="R145" s="38" t="s">
        <v>21</v>
      </c>
      <c r="S145" s="38" t="s">
        <v>21</v>
      </c>
      <c r="T145" s="119" t="s">
        <v>27</v>
      </c>
      <c r="U145" s="198">
        <v>45961</v>
      </c>
      <c r="V145" s="38" t="s">
        <v>28</v>
      </c>
      <c r="W145" s="120"/>
    </row>
    <row r="146" spans="1:23" ht="15.75">
      <c r="A146" s="122" t="s">
        <v>601</v>
      </c>
      <c r="B146" s="122" t="s">
        <v>602</v>
      </c>
      <c r="C146" s="112" t="s">
        <v>621</v>
      </c>
      <c r="D146" s="144" t="s">
        <v>684</v>
      </c>
      <c r="E146" s="32" t="s">
        <v>20</v>
      </c>
      <c r="F146" s="33" t="s">
        <v>593</v>
      </c>
      <c r="G146" s="133">
        <v>24627</v>
      </c>
      <c r="H146" s="43">
        <v>110000</v>
      </c>
      <c r="I146" s="256">
        <v>965.66</v>
      </c>
      <c r="N146" s="38" t="s">
        <v>21</v>
      </c>
      <c r="O146" s="38" t="s">
        <v>21</v>
      </c>
      <c r="P146" s="38" t="s">
        <v>21</v>
      </c>
      <c r="Q146" s="38" t="s">
        <v>21</v>
      </c>
      <c r="R146" s="38" t="s">
        <v>21</v>
      </c>
      <c r="S146" s="38" t="s">
        <v>21</v>
      </c>
      <c r="T146" s="119" t="s">
        <v>27</v>
      </c>
      <c r="U146" s="198">
        <v>45964</v>
      </c>
      <c r="V146" s="38" t="s">
        <v>28</v>
      </c>
      <c r="W146" s="120"/>
    </row>
    <row r="147" spans="1:23" ht="15.75">
      <c r="A147" s="222" t="s">
        <v>603</v>
      </c>
      <c r="B147" s="222" t="s">
        <v>604</v>
      </c>
      <c r="C147" s="112" t="s">
        <v>621</v>
      </c>
      <c r="D147" s="144" t="s">
        <v>684</v>
      </c>
      <c r="E147" s="135" t="s">
        <v>20</v>
      </c>
      <c r="F147" s="230" t="s">
        <v>597</v>
      </c>
      <c r="G147" s="231">
        <v>24627</v>
      </c>
      <c r="H147" s="137">
        <v>60000</v>
      </c>
      <c r="I147" s="138">
        <v>549.12</v>
      </c>
      <c r="N147" s="140" t="s">
        <v>21</v>
      </c>
      <c r="O147" s="140" t="s">
        <v>21</v>
      </c>
      <c r="P147" s="140" t="s">
        <v>21</v>
      </c>
      <c r="Q147" s="140" t="s">
        <v>21</v>
      </c>
      <c r="R147" s="140" t="s">
        <v>21</v>
      </c>
      <c r="S147" s="140" t="s">
        <v>21</v>
      </c>
      <c r="T147" s="119" t="s">
        <v>27</v>
      </c>
      <c r="U147" s="198">
        <v>45964</v>
      </c>
      <c r="V147" s="38" t="s">
        <v>28</v>
      </c>
      <c r="W147" s="120"/>
    </row>
    <row r="148" spans="1:23" ht="15.75">
      <c r="A148" s="122" t="s">
        <v>605</v>
      </c>
      <c r="B148" s="122" t="s">
        <v>606</v>
      </c>
      <c r="C148" s="112" t="s">
        <v>636</v>
      </c>
      <c r="D148" s="144" t="s">
        <v>684</v>
      </c>
      <c r="E148" s="32" t="s">
        <v>20</v>
      </c>
      <c r="F148" s="33" t="s">
        <v>598</v>
      </c>
      <c r="G148" s="202">
        <v>17308</v>
      </c>
      <c r="H148" s="43">
        <v>80000</v>
      </c>
      <c r="I148" s="34">
        <v>640.64</v>
      </c>
      <c r="J148" s="120"/>
      <c r="K148" s="120"/>
      <c r="L148" s="219"/>
      <c r="M148" s="219"/>
      <c r="N148" s="38" t="s">
        <v>21</v>
      </c>
      <c r="O148" s="38" t="s">
        <v>21</v>
      </c>
      <c r="P148" s="38" t="s">
        <v>21</v>
      </c>
      <c r="Q148" s="38" t="s">
        <v>21</v>
      </c>
      <c r="R148" s="38" t="s">
        <v>21</v>
      </c>
      <c r="S148" s="38" t="s">
        <v>21</v>
      </c>
      <c r="T148" s="119" t="s">
        <v>27</v>
      </c>
      <c r="U148" s="198">
        <v>45965</v>
      </c>
      <c r="V148" s="38" t="s">
        <v>28</v>
      </c>
      <c r="W148" s="287"/>
    </row>
    <row r="149" spans="1:23" ht="15.75">
      <c r="A149" s="122" t="s">
        <v>613</v>
      </c>
      <c r="B149" s="122" t="s">
        <v>614</v>
      </c>
      <c r="C149" s="112" t="s">
        <v>628</v>
      </c>
      <c r="D149" s="144" t="s">
        <v>684</v>
      </c>
      <c r="E149" s="32" t="s">
        <v>20</v>
      </c>
      <c r="F149" s="33" t="s">
        <v>610</v>
      </c>
      <c r="G149" s="133">
        <v>24627</v>
      </c>
      <c r="H149" s="43">
        <v>110000</v>
      </c>
      <c r="I149" s="34">
        <v>965.66</v>
      </c>
      <c r="J149" s="120"/>
      <c r="K149" s="120"/>
      <c r="L149" s="219"/>
      <c r="M149" s="219"/>
      <c r="N149" s="38" t="s">
        <v>21</v>
      </c>
      <c r="O149" s="38" t="s">
        <v>21</v>
      </c>
      <c r="P149" s="38" t="s">
        <v>21</v>
      </c>
      <c r="Q149" s="38" t="s">
        <v>21</v>
      </c>
      <c r="R149" s="38" t="s">
        <v>21</v>
      </c>
      <c r="S149" s="38" t="s">
        <v>21</v>
      </c>
      <c r="T149" s="119" t="s">
        <v>27</v>
      </c>
      <c r="U149" s="198">
        <v>45966</v>
      </c>
      <c r="V149" s="38" t="s">
        <v>28</v>
      </c>
      <c r="W149" s="120"/>
    </row>
    <row r="150" spans="1:23" ht="15.75">
      <c r="A150" s="122" t="s">
        <v>615</v>
      </c>
      <c r="B150" s="122" t="s">
        <v>616</v>
      </c>
      <c r="C150" s="112" t="s">
        <v>628</v>
      </c>
      <c r="D150" s="144" t="s">
        <v>684</v>
      </c>
      <c r="E150" s="32" t="s">
        <v>20</v>
      </c>
      <c r="F150" s="33" t="s">
        <v>612</v>
      </c>
      <c r="G150" s="133">
        <v>24627</v>
      </c>
      <c r="H150" s="262">
        <v>100000</v>
      </c>
      <c r="I150" s="263">
        <v>915.21</v>
      </c>
      <c r="N150" s="38" t="s">
        <v>21</v>
      </c>
      <c r="O150" s="38" t="s">
        <v>21</v>
      </c>
      <c r="P150" s="38" t="s">
        <v>21</v>
      </c>
      <c r="Q150" s="38" t="s">
        <v>21</v>
      </c>
      <c r="R150" s="38" t="s">
        <v>21</v>
      </c>
      <c r="S150" s="38" t="s">
        <v>21</v>
      </c>
      <c r="T150" s="119" t="s">
        <v>27</v>
      </c>
      <c r="U150" s="198">
        <v>45967</v>
      </c>
      <c r="V150" s="38" t="s">
        <v>28</v>
      </c>
      <c r="W150" s="120"/>
    </row>
    <row r="151" spans="1:23" ht="15.75">
      <c r="A151" s="222" t="s">
        <v>624</v>
      </c>
      <c r="B151" s="222" t="s">
        <v>625</v>
      </c>
      <c r="C151" s="268" t="s">
        <v>628</v>
      </c>
      <c r="D151" s="144" t="s">
        <v>684</v>
      </c>
      <c r="E151" s="135" t="s">
        <v>20</v>
      </c>
      <c r="F151" s="230" t="s">
        <v>623</v>
      </c>
      <c r="G151" s="231">
        <v>24627</v>
      </c>
      <c r="H151" s="152">
        <v>80000</v>
      </c>
      <c r="I151" s="184">
        <v>732.17</v>
      </c>
      <c r="N151" s="140" t="s">
        <v>21</v>
      </c>
      <c r="O151" s="140" t="s">
        <v>21</v>
      </c>
      <c r="P151" s="140" t="s">
        <v>21</v>
      </c>
      <c r="Q151" s="140" t="s">
        <v>21</v>
      </c>
      <c r="R151" s="38" t="s">
        <v>21</v>
      </c>
      <c r="S151" s="38" t="s">
        <v>21</v>
      </c>
      <c r="T151" s="119" t="s">
        <v>27</v>
      </c>
      <c r="U151" s="198">
        <v>45968</v>
      </c>
      <c r="V151" s="38" t="s">
        <v>28</v>
      </c>
      <c r="W151" s="120"/>
    </row>
    <row r="152" spans="1:23" ht="15.75">
      <c r="A152" s="122" t="s">
        <v>626</v>
      </c>
      <c r="B152" s="122" t="s">
        <v>633</v>
      </c>
      <c r="C152" s="268" t="s">
        <v>636</v>
      </c>
      <c r="D152" s="144" t="s">
        <v>684</v>
      </c>
      <c r="E152" s="32" t="s">
        <v>20</v>
      </c>
      <c r="F152" s="33" t="s">
        <v>619</v>
      </c>
      <c r="G152" s="133">
        <v>24627</v>
      </c>
      <c r="H152" s="43">
        <v>130000</v>
      </c>
      <c r="I152" s="34">
        <v>1141.23</v>
      </c>
      <c r="J152" s="120"/>
      <c r="K152" s="120"/>
      <c r="L152" s="219"/>
      <c r="M152" s="219"/>
      <c r="N152" s="38" t="s">
        <v>21</v>
      </c>
      <c r="O152" s="38" t="s">
        <v>21</v>
      </c>
      <c r="P152" s="38" t="s">
        <v>21</v>
      </c>
      <c r="Q152" s="38" t="s">
        <v>21</v>
      </c>
      <c r="R152" s="38" t="s">
        <v>21</v>
      </c>
      <c r="S152" s="38" t="s">
        <v>21</v>
      </c>
      <c r="T152" s="119" t="s">
        <v>27</v>
      </c>
      <c r="U152" s="198">
        <v>45971</v>
      </c>
      <c r="V152" s="38" t="s">
        <v>28</v>
      </c>
      <c r="W152" s="120"/>
    </row>
    <row r="153" spans="1:23" ht="15.75">
      <c r="A153" s="122" t="s">
        <v>627</v>
      </c>
      <c r="B153" s="122" t="s">
        <v>634</v>
      </c>
      <c r="C153" s="268" t="s">
        <v>636</v>
      </c>
      <c r="D153" s="144" t="s">
        <v>684</v>
      </c>
      <c r="E153" s="32" t="s">
        <v>20</v>
      </c>
      <c r="F153" s="33" t="s">
        <v>620</v>
      </c>
      <c r="G153" s="133">
        <v>24627</v>
      </c>
      <c r="H153" s="43">
        <v>770000</v>
      </c>
      <c r="I153" s="34">
        <v>640.64</v>
      </c>
      <c r="J153" s="120"/>
      <c r="K153" s="120"/>
      <c r="L153" s="219"/>
      <c r="M153" s="219"/>
      <c r="N153" s="38" t="s">
        <v>21</v>
      </c>
      <c r="O153" s="38" t="s">
        <v>21</v>
      </c>
      <c r="P153" s="38" t="s">
        <v>21</v>
      </c>
      <c r="Q153" s="38" t="s">
        <v>21</v>
      </c>
      <c r="R153" s="38" t="s">
        <v>21</v>
      </c>
      <c r="S153" s="38" t="s">
        <v>21</v>
      </c>
      <c r="T153" s="119" t="s">
        <v>27</v>
      </c>
      <c r="U153" s="198">
        <v>45971</v>
      </c>
      <c r="V153" s="38" t="s">
        <v>28</v>
      </c>
      <c r="W153" s="120"/>
    </row>
    <row r="154" spans="1:23" ht="15.75">
      <c r="A154" s="222" t="s">
        <v>632</v>
      </c>
      <c r="B154" s="222" t="s">
        <v>635</v>
      </c>
      <c r="C154" s="268" t="s">
        <v>636</v>
      </c>
      <c r="D154" s="144" t="s">
        <v>684</v>
      </c>
      <c r="E154" s="32" t="s">
        <v>20</v>
      </c>
      <c r="F154" s="33" t="s">
        <v>630</v>
      </c>
      <c r="G154" s="110">
        <v>17308</v>
      </c>
      <c r="H154" s="43">
        <v>70000</v>
      </c>
      <c r="I154" s="34">
        <v>640.64</v>
      </c>
      <c r="J154" s="120"/>
      <c r="K154" s="120"/>
      <c r="L154" s="219"/>
      <c r="M154" s="219"/>
      <c r="N154" s="38" t="s">
        <v>21</v>
      </c>
      <c r="O154" s="38" t="s">
        <v>21</v>
      </c>
      <c r="P154" s="38" t="s">
        <v>21</v>
      </c>
      <c r="Q154" s="38" t="s">
        <v>21</v>
      </c>
      <c r="R154" s="38" t="s">
        <v>21</v>
      </c>
      <c r="S154" s="38" t="s">
        <v>21</v>
      </c>
      <c r="T154" s="119" t="s">
        <v>27</v>
      </c>
      <c r="U154" s="198">
        <v>45971</v>
      </c>
      <c r="V154" s="38" t="s">
        <v>28</v>
      </c>
      <c r="W154" s="287"/>
    </row>
    <row r="155" spans="1:23" ht="15.75">
      <c r="A155" s="122" t="s">
        <v>641</v>
      </c>
      <c r="B155" s="122" t="s">
        <v>642</v>
      </c>
      <c r="C155" s="268" t="s">
        <v>649</v>
      </c>
      <c r="D155" s="144" t="s">
        <v>684</v>
      </c>
      <c r="E155" s="32" t="s">
        <v>20</v>
      </c>
      <c r="F155" s="33" t="s">
        <v>638</v>
      </c>
      <c r="G155" s="133">
        <v>24627</v>
      </c>
      <c r="H155" s="43">
        <v>90000</v>
      </c>
      <c r="I155" s="34">
        <v>823.69</v>
      </c>
      <c r="N155" s="38" t="s">
        <v>21</v>
      </c>
      <c r="O155" s="38" t="s">
        <v>21</v>
      </c>
      <c r="P155" s="38" t="s">
        <v>21</v>
      </c>
      <c r="Q155" s="38" t="s">
        <v>21</v>
      </c>
      <c r="R155" s="38" t="s">
        <v>21</v>
      </c>
      <c r="S155" s="38" t="s">
        <v>21</v>
      </c>
      <c r="T155" s="119" t="s">
        <v>27</v>
      </c>
      <c r="U155" s="198">
        <v>45973</v>
      </c>
      <c r="V155" s="38" t="s">
        <v>28</v>
      </c>
      <c r="W155" s="120"/>
    </row>
    <row r="156" spans="1:23" ht="15.75">
      <c r="A156" s="122" t="s">
        <v>643</v>
      </c>
      <c r="B156" s="122" t="s">
        <v>644</v>
      </c>
      <c r="C156" s="268" t="s">
        <v>649</v>
      </c>
      <c r="D156" s="144" t="s">
        <v>684</v>
      </c>
      <c r="E156" s="32" t="s">
        <v>20</v>
      </c>
      <c r="F156" s="33" t="s">
        <v>637</v>
      </c>
      <c r="G156" s="110">
        <v>17308</v>
      </c>
      <c r="H156" s="43">
        <v>190000</v>
      </c>
      <c r="I156" s="34">
        <v>1667.96</v>
      </c>
      <c r="N156" s="38" t="s">
        <v>21</v>
      </c>
      <c r="O156" s="38" t="s">
        <v>21</v>
      </c>
      <c r="P156" s="38" t="s">
        <v>21</v>
      </c>
      <c r="Q156" s="38" t="s">
        <v>21</v>
      </c>
      <c r="R156" s="38" t="s">
        <v>21</v>
      </c>
      <c r="S156" s="38" t="s">
        <v>21</v>
      </c>
      <c r="T156" s="119" t="s">
        <v>27</v>
      </c>
      <c r="U156" s="198">
        <v>45973</v>
      </c>
      <c r="V156" s="38" t="s">
        <v>28</v>
      </c>
      <c r="W156" s="287"/>
    </row>
    <row r="157" spans="1:23" ht="15.75">
      <c r="A157" s="122" t="s">
        <v>650</v>
      </c>
      <c r="B157" s="122" t="s">
        <v>651</v>
      </c>
      <c r="C157" s="268" t="s">
        <v>654</v>
      </c>
      <c r="D157" s="144" t="s">
        <v>684</v>
      </c>
      <c r="E157" s="32" t="s">
        <v>20</v>
      </c>
      <c r="F157" s="33" t="s">
        <v>647</v>
      </c>
      <c r="G157" s="133">
        <v>24627</v>
      </c>
      <c r="H157" s="43">
        <v>260000</v>
      </c>
      <c r="I157" s="34">
        <v>2290.44</v>
      </c>
      <c r="N157" s="38" t="s">
        <v>21</v>
      </c>
      <c r="O157" s="38" t="s">
        <v>21</v>
      </c>
      <c r="P157" s="38" t="s">
        <v>21</v>
      </c>
      <c r="Q157" s="38" t="s">
        <v>21</v>
      </c>
      <c r="R157" s="38" t="s">
        <v>21</v>
      </c>
      <c r="S157" s="38" t="s">
        <v>21</v>
      </c>
      <c r="T157" s="119" t="s">
        <v>27</v>
      </c>
      <c r="U157" s="198">
        <v>45974</v>
      </c>
      <c r="V157" s="38" t="s">
        <v>28</v>
      </c>
      <c r="W157" s="120"/>
    </row>
    <row r="158" spans="1:23" ht="15.75">
      <c r="A158" s="222" t="s">
        <v>652</v>
      </c>
      <c r="B158" s="222" t="s">
        <v>653</v>
      </c>
      <c r="C158" s="268" t="s">
        <v>654</v>
      </c>
      <c r="D158" s="144" t="s">
        <v>684</v>
      </c>
      <c r="E158" s="32" t="s">
        <v>20</v>
      </c>
      <c r="F158" s="230" t="s">
        <v>648</v>
      </c>
      <c r="G158" s="231">
        <v>24627</v>
      </c>
      <c r="H158" s="137">
        <v>100000</v>
      </c>
      <c r="I158" s="138">
        <v>915.21</v>
      </c>
      <c r="N158" s="140" t="s">
        <v>21</v>
      </c>
      <c r="O158" s="140" t="s">
        <v>21</v>
      </c>
      <c r="P158" s="140" t="s">
        <v>21</v>
      </c>
      <c r="Q158" s="140" t="s">
        <v>21</v>
      </c>
      <c r="R158" s="140" t="s">
        <v>21</v>
      </c>
      <c r="S158" s="140" t="s">
        <v>21</v>
      </c>
      <c r="T158" s="141" t="s">
        <v>27</v>
      </c>
      <c r="U158" s="200">
        <v>45974</v>
      </c>
      <c r="V158" s="140" t="s">
        <v>28</v>
      </c>
      <c r="W158" s="120"/>
    </row>
    <row r="159" spans="1:23" ht="15.75">
      <c r="A159" s="122" t="s">
        <v>657</v>
      </c>
      <c r="B159" s="122" t="s">
        <v>658</v>
      </c>
      <c r="C159" s="268" t="s">
        <v>659</v>
      </c>
      <c r="D159" s="144" t="s">
        <v>684</v>
      </c>
      <c r="E159" s="32" t="s">
        <v>20</v>
      </c>
      <c r="F159" s="33" t="s">
        <v>656</v>
      </c>
      <c r="G159" s="231">
        <v>24627</v>
      </c>
      <c r="H159" s="134">
        <v>170000</v>
      </c>
      <c r="I159" s="134">
        <v>1492.38</v>
      </c>
      <c r="J159" s="120"/>
      <c r="K159" s="120"/>
      <c r="L159" s="219"/>
      <c r="M159" s="219"/>
      <c r="N159" s="140" t="s">
        <v>21</v>
      </c>
      <c r="O159" s="140" t="s">
        <v>21</v>
      </c>
      <c r="P159" s="140" t="s">
        <v>21</v>
      </c>
      <c r="Q159" s="140" t="s">
        <v>21</v>
      </c>
      <c r="R159" s="140" t="s">
        <v>21</v>
      </c>
      <c r="S159" s="140" t="s">
        <v>21</v>
      </c>
      <c r="T159" s="141" t="s">
        <v>27</v>
      </c>
      <c r="U159" s="200">
        <v>45975</v>
      </c>
      <c r="V159" s="140" t="s">
        <v>28</v>
      </c>
      <c r="W159" s="120"/>
    </row>
    <row r="160" spans="1:23" ht="15.75">
      <c r="A160" s="122" t="s">
        <v>660</v>
      </c>
      <c r="B160" s="122" t="s">
        <v>661</v>
      </c>
      <c r="C160" s="112" t="s">
        <v>659</v>
      </c>
      <c r="D160" s="144" t="s">
        <v>684</v>
      </c>
      <c r="E160" s="32" t="s">
        <v>20</v>
      </c>
      <c r="F160" s="33" t="s">
        <v>655</v>
      </c>
      <c r="G160" s="231">
        <v>24627</v>
      </c>
      <c r="H160" s="134">
        <v>150000</v>
      </c>
      <c r="I160" s="134">
        <v>1316.81</v>
      </c>
      <c r="J160" s="120"/>
      <c r="K160" s="120"/>
      <c r="L160" s="219"/>
      <c r="M160" s="219"/>
      <c r="N160" s="38" t="s">
        <v>21</v>
      </c>
      <c r="O160" s="38" t="s">
        <v>21</v>
      </c>
      <c r="P160" s="38" t="s">
        <v>21</v>
      </c>
      <c r="Q160" s="38" t="s">
        <v>21</v>
      </c>
      <c r="R160" s="38" t="s">
        <v>21</v>
      </c>
      <c r="S160" s="38" t="s">
        <v>21</v>
      </c>
      <c r="T160" s="119" t="s">
        <v>27</v>
      </c>
      <c r="U160" s="198">
        <v>45975</v>
      </c>
      <c r="V160" s="38" t="s">
        <v>28</v>
      </c>
      <c r="W160" s="120"/>
    </row>
    <row r="161" spans="1:23" ht="15.75">
      <c r="A161" s="122" t="s">
        <v>662</v>
      </c>
      <c r="B161" s="122" t="s">
        <v>663</v>
      </c>
      <c r="C161" s="112" t="s">
        <v>659</v>
      </c>
      <c r="D161" s="144" t="s">
        <v>684</v>
      </c>
      <c r="E161" s="32" t="s">
        <v>20</v>
      </c>
      <c r="F161" s="33" t="s">
        <v>664</v>
      </c>
      <c r="G161" s="110">
        <v>17308</v>
      </c>
      <c r="H161" s="134">
        <v>100000</v>
      </c>
      <c r="I161" s="134">
        <v>915.21</v>
      </c>
      <c r="J161" s="120"/>
      <c r="K161" s="120"/>
      <c r="L161" s="219"/>
      <c r="M161" s="219"/>
      <c r="N161" s="38" t="s">
        <v>21</v>
      </c>
      <c r="O161" s="38" t="s">
        <v>21</v>
      </c>
      <c r="P161" s="38" t="s">
        <v>21</v>
      </c>
      <c r="Q161" s="38" t="s">
        <v>21</v>
      </c>
      <c r="R161" s="38" t="s">
        <v>21</v>
      </c>
      <c r="S161" s="38" t="s">
        <v>21</v>
      </c>
      <c r="T161" s="119" t="s">
        <v>27</v>
      </c>
      <c r="U161" s="198">
        <v>45975</v>
      </c>
      <c r="V161" s="38" t="s">
        <v>28</v>
      </c>
      <c r="W161" s="287"/>
    </row>
    <row r="162" spans="1:23" ht="15.75">
      <c r="A162" s="122" t="s">
        <v>672</v>
      </c>
      <c r="B162" s="122" t="s">
        <v>673</v>
      </c>
      <c r="C162" s="120"/>
      <c r="D162" s="195" t="s">
        <v>687</v>
      </c>
      <c r="E162" s="32" t="s">
        <v>20</v>
      </c>
      <c r="F162" s="33" t="s">
        <v>668</v>
      </c>
      <c r="G162" s="133">
        <v>24627</v>
      </c>
      <c r="H162" s="43">
        <v>70000</v>
      </c>
      <c r="I162" s="34">
        <v>640.64</v>
      </c>
      <c r="N162" s="38" t="s">
        <v>21</v>
      </c>
      <c r="O162" s="38" t="s">
        <v>21</v>
      </c>
      <c r="P162" s="38" t="s">
        <v>21</v>
      </c>
      <c r="Q162" s="38" t="s">
        <v>21</v>
      </c>
      <c r="R162" s="38" t="s">
        <v>21</v>
      </c>
      <c r="S162" s="38" t="s">
        <v>21</v>
      </c>
      <c r="T162" s="38" t="s">
        <v>21</v>
      </c>
      <c r="U162" s="38" t="s">
        <v>21</v>
      </c>
      <c r="V162" s="119" t="s">
        <v>27</v>
      </c>
      <c r="W162" s="198">
        <v>45978</v>
      </c>
    </row>
    <row r="163" spans="1:23" ht="15.75">
      <c r="A163" s="222" t="s">
        <v>678</v>
      </c>
      <c r="B163" s="222" t="s">
        <v>679</v>
      </c>
      <c r="C163" s="286"/>
      <c r="D163" s="195" t="s">
        <v>670</v>
      </c>
      <c r="E163" s="135" t="s">
        <v>20</v>
      </c>
      <c r="F163" s="230" t="s">
        <v>671</v>
      </c>
      <c r="G163" s="231">
        <v>24627</v>
      </c>
      <c r="H163" s="282">
        <v>190000</v>
      </c>
      <c r="I163" s="282">
        <v>1667.96</v>
      </c>
      <c r="N163" s="140" t="s">
        <v>21</v>
      </c>
      <c r="O163" s="140" t="s">
        <v>21</v>
      </c>
      <c r="P163" s="140" t="s">
        <v>21</v>
      </c>
      <c r="Q163" s="140" t="s">
        <v>21</v>
      </c>
      <c r="R163" s="140" t="s">
        <v>21</v>
      </c>
      <c r="S163" s="140" t="s">
        <v>21</v>
      </c>
      <c r="T163" s="140" t="s">
        <v>21</v>
      </c>
      <c r="U163" s="140" t="s">
        <v>21</v>
      </c>
      <c r="V163" s="141" t="s">
        <v>27</v>
      </c>
      <c r="W163" s="200">
        <v>45979</v>
      </c>
    </row>
    <row r="164" spans="1:23" ht="15.75">
      <c r="A164" s="122" t="s">
        <v>680</v>
      </c>
      <c r="B164" s="122" t="s">
        <v>681</v>
      </c>
      <c r="C164" s="120"/>
      <c r="D164" s="195" t="s">
        <v>675</v>
      </c>
      <c r="E164" s="135" t="s">
        <v>20</v>
      </c>
      <c r="F164" s="33" t="s">
        <v>676</v>
      </c>
      <c r="G164" s="231">
        <v>24627</v>
      </c>
      <c r="H164" s="134">
        <v>70000</v>
      </c>
      <c r="I164" s="134">
        <v>640.64</v>
      </c>
      <c r="J164" s="120"/>
      <c r="K164" s="120"/>
      <c r="L164" s="219"/>
      <c r="M164" s="219"/>
      <c r="N164" s="120"/>
      <c r="O164" s="120"/>
      <c r="P164" s="38" t="s">
        <v>21</v>
      </c>
      <c r="Q164" s="38" t="s">
        <v>21</v>
      </c>
      <c r="R164" s="38" t="s">
        <v>21</v>
      </c>
      <c r="S164" s="38" t="s">
        <v>21</v>
      </c>
      <c r="T164" s="38" t="s">
        <v>21</v>
      </c>
      <c r="U164" s="38" t="s">
        <v>21</v>
      </c>
      <c r="V164" s="119" t="s">
        <v>27</v>
      </c>
      <c r="W164" s="198">
        <v>45980</v>
      </c>
    </row>
    <row r="165" spans="1:23" ht="15.75">
      <c r="A165" s="122" t="s">
        <v>682</v>
      </c>
      <c r="B165" s="122" t="s">
        <v>683</v>
      </c>
      <c r="C165" s="120"/>
      <c r="D165" s="195" t="s">
        <v>675</v>
      </c>
      <c r="E165" s="135" t="s">
        <v>20</v>
      </c>
      <c r="F165" s="33" t="s">
        <v>677</v>
      </c>
      <c r="G165" s="231">
        <v>24627</v>
      </c>
      <c r="H165" s="134">
        <v>70000</v>
      </c>
      <c r="I165" s="134">
        <v>640.64</v>
      </c>
      <c r="J165" s="120"/>
      <c r="K165" s="120"/>
      <c r="L165" s="219"/>
      <c r="M165" s="219"/>
      <c r="N165" s="120"/>
      <c r="O165" s="120"/>
      <c r="P165" s="38" t="s">
        <v>21</v>
      </c>
      <c r="Q165" s="38" t="s">
        <v>21</v>
      </c>
      <c r="R165" s="38" t="s">
        <v>21</v>
      </c>
      <c r="S165" s="38" t="s">
        <v>21</v>
      </c>
      <c r="T165" s="38" t="s">
        <v>21</v>
      </c>
      <c r="U165" s="38" t="s">
        <v>21</v>
      </c>
      <c r="V165" s="119" t="s">
        <v>27</v>
      </c>
      <c r="W165" s="198">
        <v>45980</v>
      </c>
    </row>
    <row r="166" spans="1:23" ht="15.75">
      <c r="A166" s="122"/>
      <c r="B166" s="122"/>
      <c r="C166" s="120"/>
      <c r="D166" s="31" t="s">
        <v>692</v>
      </c>
      <c r="E166" s="32" t="s">
        <v>20</v>
      </c>
      <c r="F166" s="33" t="s">
        <v>693</v>
      </c>
      <c r="G166" s="133">
        <v>24627</v>
      </c>
      <c r="H166" s="143">
        <v>140000</v>
      </c>
      <c r="I166" s="143">
        <v>1229.02</v>
      </c>
      <c r="J166" s="120"/>
      <c r="K166" s="120"/>
      <c r="L166" s="219"/>
      <c r="M166" s="219"/>
      <c r="N166" s="120"/>
      <c r="O166" s="120"/>
      <c r="P166" s="38" t="s">
        <v>21</v>
      </c>
      <c r="Q166" s="38" t="s">
        <v>21</v>
      </c>
      <c r="R166" s="38" t="s">
        <v>21</v>
      </c>
      <c r="S166" s="38" t="s">
        <v>21</v>
      </c>
      <c r="T166" s="38" t="s">
        <v>21</v>
      </c>
      <c r="U166" s="38" t="s">
        <v>21</v>
      </c>
      <c r="V166" s="119" t="s">
        <v>27</v>
      </c>
      <c r="W166" s="198">
        <v>45986</v>
      </c>
    </row>
    <row r="167" spans="1:23" ht="15.75">
      <c r="A167" s="122"/>
      <c r="B167" s="122"/>
      <c r="C167" s="120"/>
      <c r="D167" s="120"/>
      <c r="E167" s="120"/>
      <c r="F167" s="120"/>
      <c r="G167" s="120"/>
      <c r="H167" s="120"/>
      <c r="I167" s="120"/>
      <c r="J167" s="120"/>
      <c r="K167" s="120"/>
      <c r="L167" s="219"/>
      <c r="M167" s="219"/>
      <c r="N167" s="120"/>
      <c r="O167" s="120"/>
      <c r="P167" s="120"/>
      <c r="Q167" s="219"/>
      <c r="R167" s="120"/>
      <c r="S167" s="219"/>
      <c r="T167" s="120"/>
      <c r="U167" s="120"/>
      <c r="V167" s="120"/>
      <c r="W167" s="287"/>
    </row>
    <row r="168" spans="1:23" ht="15.75">
      <c r="A168" s="122"/>
      <c r="B168" s="122"/>
      <c r="C168" s="120"/>
      <c r="D168" s="120"/>
      <c r="E168" s="120"/>
      <c r="F168" s="120"/>
      <c r="G168" s="120"/>
      <c r="H168" s="120"/>
      <c r="I168" s="120"/>
      <c r="J168" s="120"/>
      <c r="K168" s="120"/>
      <c r="L168" s="219"/>
      <c r="M168" s="219"/>
      <c r="N168" s="120"/>
      <c r="O168" s="120"/>
      <c r="P168" s="120"/>
      <c r="Q168" s="219"/>
      <c r="R168" s="120"/>
      <c r="S168" s="219"/>
      <c r="T168" s="120"/>
      <c r="U168" s="120"/>
      <c r="V168" s="120"/>
      <c r="W168" s="287"/>
    </row>
    <row r="169" spans="1:23" ht="15.75">
      <c r="A169" s="122"/>
      <c r="B169" s="122"/>
      <c r="C169" s="120"/>
      <c r="D169" s="120"/>
      <c r="E169" s="120"/>
      <c r="F169" s="120"/>
      <c r="G169" s="120"/>
      <c r="H169" s="120"/>
      <c r="I169" s="120"/>
      <c r="J169" s="120"/>
      <c r="K169" s="120"/>
      <c r="L169" s="219"/>
      <c r="M169" s="219"/>
      <c r="N169" s="120"/>
      <c r="O169" s="120"/>
      <c r="P169" s="120"/>
      <c r="Q169" s="219"/>
      <c r="R169" s="120"/>
      <c r="S169" s="219"/>
      <c r="T169" s="120"/>
      <c r="U169" s="120"/>
      <c r="V169" s="120"/>
      <c r="W169" s="287"/>
    </row>
    <row r="170" spans="1:23" ht="15.75">
      <c r="A170" s="122"/>
      <c r="B170" s="122"/>
      <c r="C170" s="120"/>
      <c r="D170" s="120"/>
      <c r="E170" s="120"/>
      <c r="F170" s="120"/>
      <c r="G170" s="120"/>
      <c r="H170" s="120"/>
      <c r="I170" s="120"/>
      <c r="J170" s="120"/>
      <c r="K170" s="120"/>
      <c r="L170" s="219"/>
      <c r="M170" s="219"/>
      <c r="N170" s="120"/>
      <c r="O170" s="120"/>
      <c r="P170" s="120"/>
      <c r="Q170" s="219"/>
      <c r="R170" s="120"/>
      <c r="S170" s="219"/>
      <c r="T170" s="120"/>
      <c r="U170" s="120"/>
      <c r="V170" s="120"/>
      <c r="W170" s="287"/>
    </row>
    <row r="171" spans="1:23" ht="15.75">
      <c r="A171" s="122"/>
      <c r="B171" s="122"/>
      <c r="C171" s="120"/>
      <c r="D171" s="120"/>
      <c r="E171" s="120"/>
      <c r="F171" s="120"/>
      <c r="G171" s="120"/>
      <c r="H171" s="120"/>
      <c r="I171" s="120"/>
      <c r="J171" s="120"/>
      <c r="K171" s="120"/>
      <c r="L171" s="219"/>
      <c r="M171" s="219"/>
      <c r="N171" s="120"/>
      <c r="O171" s="120"/>
      <c r="P171" s="120"/>
      <c r="Q171" s="219"/>
      <c r="R171" s="120"/>
      <c r="S171" s="219"/>
      <c r="T171" s="120"/>
      <c r="U171" s="120"/>
      <c r="V171" s="120"/>
      <c r="W171" s="287"/>
    </row>
    <row r="172" spans="1:23" ht="15.75">
      <c r="A172" s="1"/>
      <c r="B172" s="1"/>
    </row>
    <row r="173" spans="1:23" ht="15.75">
      <c r="A173" s="1"/>
      <c r="B173" s="1"/>
    </row>
    <row r="174" spans="1:23" ht="15.75">
      <c r="A174" s="1"/>
      <c r="B174" s="1"/>
    </row>
    <row r="175" spans="1:23" ht="15.75">
      <c r="A175" s="2"/>
      <c r="B175" s="2"/>
    </row>
    <row r="176" spans="1:23" ht="15.75">
      <c r="A176" s="2"/>
      <c r="B176" s="2"/>
    </row>
    <row r="177" spans="1:2" ht="15.75">
      <c r="A177" s="2"/>
      <c r="B177" s="2"/>
    </row>
    <row r="178" spans="1:2" ht="15.75">
      <c r="A178" s="2"/>
      <c r="B178" s="2"/>
    </row>
    <row r="179" spans="1:2" ht="15.75">
      <c r="A179" s="2"/>
      <c r="B179" s="2"/>
    </row>
    <row r="180" spans="1:2" ht="15.75">
      <c r="A180" s="2"/>
      <c r="B180" s="2"/>
    </row>
    <row r="181" spans="1:2" ht="15.75">
      <c r="A181" s="2"/>
      <c r="B181" s="2"/>
    </row>
    <row r="182" spans="1:2" ht="15.75">
      <c r="A182" s="2"/>
      <c r="B182" s="2"/>
    </row>
    <row r="183" spans="1:2" ht="15.75">
      <c r="A183" s="2"/>
      <c r="B183" s="2"/>
    </row>
    <row r="184" spans="1:2" ht="15.75">
      <c r="A184" s="2"/>
      <c r="B184" s="2"/>
    </row>
    <row r="185" spans="1:2" ht="15.75">
      <c r="A185" s="2"/>
      <c r="B185" s="2"/>
    </row>
    <row r="186" spans="1:2" ht="15.75">
      <c r="A186" s="2"/>
      <c r="B186" s="2"/>
    </row>
    <row r="187" spans="1:2" ht="15.75">
      <c r="A187" s="2"/>
      <c r="B187" s="2"/>
    </row>
    <row r="188" spans="1:2" ht="15.75">
      <c r="A188" s="2"/>
      <c r="B188" s="2"/>
    </row>
    <row r="189" spans="1:2" ht="15.75">
      <c r="A189" s="2"/>
      <c r="B189" s="2"/>
    </row>
    <row r="190" spans="1:2" ht="15.75">
      <c r="A190" s="2"/>
      <c r="B190" s="2"/>
    </row>
    <row r="191" spans="1:2" ht="15.75">
      <c r="A191" s="2"/>
      <c r="B191" s="2"/>
    </row>
    <row r="192" spans="1:2" ht="15.75">
      <c r="A192" s="2"/>
      <c r="B192" s="2"/>
    </row>
    <row r="193" spans="1:2" ht="15.75">
      <c r="A193" s="2"/>
      <c r="B193" s="2"/>
    </row>
    <row r="194" spans="1:2" ht="15.75">
      <c r="A194" s="2"/>
      <c r="B194" s="2"/>
    </row>
    <row r="195" spans="1:2" ht="15.75">
      <c r="A195" s="2"/>
      <c r="B195" s="2"/>
    </row>
    <row r="196" spans="1:2" ht="15.75">
      <c r="A196" s="2"/>
      <c r="B196" s="2"/>
    </row>
    <row r="197" spans="1:2" ht="15.75">
      <c r="A197" s="2"/>
      <c r="B197" s="2"/>
    </row>
    <row r="198" spans="1:2" ht="15.75">
      <c r="A198" s="2"/>
      <c r="B198" s="2"/>
    </row>
    <row r="199" spans="1:2" ht="15.75">
      <c r="A199" s="2"/>
      <c r="B199" s="2"/>
    </row>
    <row r="200" spans="1:2" ht="15.75">
      <c r="A200" s="2"/>
      <c r="B200" s="2"/>
    </row>
    <row r="201" spans="1:2" ht="15.75">
      <c r="A201" s="2"/>
      <c r="B201" s="2"/>
    </row>
    <row r="202" spans="1:2" ht="15.75">
      <c r="A202" s="2"/>
      <c r="B202" s="2"/>
    </row>
    <row r="203" spans="1:2" ht="15.75">
      <c r="A203" s="2"/>
      <c r="B203" s="2"/>
    </row>
    <row r="204" spans="1:2" ht="15.75">
      <c r="A204" s="2"/>
      <c r="B204" s="2"/>
    </row>
    <row r="205" spans="1:2" ht="15.75">
      <c r="A205" s="2"/>
      <c r="B205" s="2"/>
    </row>
    <row r="206" spans="1:2" ht="15.75">
      <c r="A206" s="2"/>
      <c r="B206" s="2"/>
    </row>
    <row r="207" spans="1:2" ht="15.75">
      <c r="A207" s="2"/>
      <c r="B207" s="2"/>
    </row>
    <row r="208" spans="1:2" ht="15.75">
      <c r="A208" s="2"/>
      <c r="B208" s="2"/>
    </row>
    <row r="209" spans="1:2" ht="15.75">
      <c r="A209" s="2"/>
      <c r="B209" s="2"/>
    </row>
    <row r="210" spans="1:2" ht="15.75">
      <c r="A210" s="2"/>
      <c r="B210" s="2"/>
    </row>
    <row r="211" spans="1:2" ht="15.75">
      <c r="A211" s="2"/>
      <c r="B211" s="2"/>
    </row>
    <row r="212" spans="1:2" ht="15.75">
      <c r="A212" s="2"/>
      <c r="B212" s="2"/>
    </row>
    <row r="213" spans="1:2" ht="15.75">
      <c r="A213" s="2"/>
      <c r="B213" s="2"/>
    </row>
    <row r="214" spans="1:2" ht="15.75">
      <c r="A214" s="2"/>
      <c r="B214" s="2"/>
    </row>
    <row r="215" spans="1:2" ht="15.75">
      <c r="A215" s="2"/>
      <c r="B215" s="2"/>
    </row>
    <row r="216" spans="1:2" ht="15.75">
      <c r="A216" s="2"/>
      <c r="B216" s="2"/>
    </row>
    <row r="217" spans="1:2" ht="15.75">
      <c r="A217" s="2"/>
      <c r="B217" s="2"/>
    </row>
    <row r="218" spans="1:2" ht="15.75">
      <c r="A218" s="2"/>
      <c r="B218" s="2"/>
    </row>
    <row r="219" spans="1:2" ht="15.75">
      <c r="A219" s="2"/>
      <c r="B219" s="2"/>
    </row>
    <row r="220" spans="1:2" ht="15.75">
      <c r="A220" s="2"/>
      <c r="B220" s="2"/>
    </row>
    <row r="221" spans="1:2" ht="15.75">
      <c r="A221" s="2"/>
      <c r="B221" s="2"/>
    </row>
    <row r="222" spans="1:2" ht="15.75">
      <c r="A222" s="2"/>
      <c r="B222" s="2"/>
    </row>
    <row r="223" spans="1:2" ht="15.75">
      <c r="A223" s="2"/>
      <c r="B223" s="2"/>
    </row>
    <row r="224" spans="1:2" ht="15.75">
      <c r="A224" s="2"/>
      <c r="B224" s="2"/>
    </row>
    <row r="225" spans="1:2" ht="15.75">
      <c r="A225" s="2"/>
      <c r="B225" s="2"/>
    </row>
    <row r="226" spans="1:2" ht="15.75">
      <c r="A226" s="2"/>
      <c r="B226" s="2"/>
    </row>
    <row r="227" spans="1:2" ht="15.75">
      <c r="A227" s="2"/>
      <c r="B227" s="2"/>
    </row>
    <row r="228" spans="1:2" ht="15.75">
      <c r="A228" s="2"/>
      <c r="B228" s="2"/>
    </row>
    <row r="229" spans="1:2" ht="15.75">
      <c r="A229" s="2"/>
      <c r="B229" s="2"/>
    </row>
    <row r="230" spans="1:2" ht="15.75">
      <c r="A230" s="2"/>
      <c r="B230" s="2"/>
    </row>
    <row r="231" spans="1:2" ht="15.75">
      <c r="A231" s="2"/>
      <c r="B231" s="2"/>
    </row>
    <row r="232" spans="1:2" ht="15.75">
      <c r="A232" s="2"/>
      <c r="B232" s="2"/>
    </row>
    <row r="233" spans="1:2" ht="15.75">
      <c r="A233" s="2"/>
      <c r="B233" s="2"/>
    </row>
    <row r="234" spans="1:2" ht="15.75">
      <c r="A234" s="2"/>
      <c r="B234" s="2"/>
    </row>
    <row r="235" spans="1:2" ht="15.75">
      <c r="A235" s="2"/>
      <c r="B235" s="2"/>
    </row>
    <row r="236" spans="1:2" ht="15.75">
      <c r="A236" s="2"/>
      <c r="B236" s="2"/>
    </row>
    <row r="237" spans="1:2" ht="15.75">
      <c r="A237" s="2"/>
      <c r="B237" s="2"/>
    </row>
    <row r="238" spans="1:2" ht="15.75">
      <c r="A238" s="2"/>
      <c r="B238" s="2"/>
    </row>
    <row r="239" spans="1:2" ht="15.75">
      <c r="A239" s="2"/>
      <c r="B239" s="2"/>
    </row>
    <row r="240" spans="1:2" ht="15.75">
      <c r="A240" s="2"/>
      <c r="B240" s="2"/>
    </row>
    <row r="241" spans="1:2" ht="15.75">
      <c r="A241" s="2"/>
      <c r="B241" s="2"/>
    </row>
    <row r="242" spans="1:2" ht="15.75">
      <c r="A242" s="2"/>
      <c r="B242" s="2"/>
    </row>
    <row r="243" spans="1:2" ht="15.75">
      <c r="A243" s="2"/>
      <c r="B243" s="2"/>
    </row>
    <row r="244" spans="1:2" ht="15.75">
      <c r="A244" s="2"/>
      <c r="B244" s="2"/>
    </row>
    <row r="245" spans="1:2" ht="15.75">
      <c r="A245" s="2"/>
      <c r="B245" s="2"/>
    </row>
    <row r="246" spans="1:2" ht="15.75">
      <c r="A246" s="2"/>
      <c r="B246" s="2"/>
    </row>
    <row r="247" spans="1:2" ht="15.75">
      <c r="A247" s="2"/>
      <c r="B247" s="2"/>
    </row>
    <row r="248" spans="1:2" ht="15.75">
      <c r="A248" s="2"/>
      <c r="B248" s="2"/>
    </row>
    <row r="249" spans="1:2" ht="15.75">
      <c r="A249" s="2"/>
      <c r="B249" s="2"/>
    </row>
    <row r="250" spans="1:2" ht="15.75">
      <c r="A250" s="2"/>
      <c r="B250" s="2"/>
    </row>
    <row r="251" spans="1:2" ht="15.75">
      <c r="A251" s="2"/>
      <c r="B251" s="2"/>
    </row>
    <row r="252" spans="1:2" ht="15.75">
      <c r="A252" s="2"/>
      <c r="B252" s="2"/>
    </row>
    <row r="253" spans="1:2" ht="15.75">
      <c r="A253" s="2"/>
      <c r="B253" s="2"/>
    </row>
    <row r="254" spans="1:2" ht="15.75">
      <c r="A254" s="2"/>
      <c r="B254" s="2"/>
    </row>
    <row r="255" spans="1:2" ht="15.75">
      <c r="A255" s="2"/>
      <c r="B255" s="2"/>
    </row>
    <row r="256" spans="1:2" ht="15.75">
      <c r="A256" s="2"/>
      <c r="B256" s="2"/>
    </row>
    <row r="257" spans="1:2" ht="15.75">
      <c r="A257" s="2"/>
      <c r="B257" s="2"/>
    </row>
    <row r="258" spans="1:2" ht="15.75">
      <c r="A258" s="2"/>
      <c r="B258" s="2"/>
    </row>
    <row r="259" spans="1:2" ht="15.75">
      <c r="A259" s="2"/>
      <c r="B259" s="2"/>
    </row>
    <row r="260" spans="1:2" ht="15.75">
      <c r="A260" s="2"/>
      <c r="B260" s="2"/>
    </row>
    <row r="261" spans="1:2" ht="15.75">
      <c r="A261" s="2"/>
      <c r="B261" s="2"/>
    </row>
    <row r="262" spans="1:2" ht="15.75">
      <c r="A262" s="2"/>
      <c r="B262" s="2"/>
    </row>
    <row r="263" spans="1:2" ht="15.75">
      <c r="A263" s="2"/>
      <c r="B263" s="2"/>
    </row>
    <row r="264" spans="1:2" ht="15.75">
      <c r="A264" s="2"/>
      <c r="B264" s="2"/>
    </row>
    <row r="265" spans="1:2" ht="15.75">
      <c r="A265" s="2"/>
      <c r="B265" s="2"/>
    </row>
    <row r="266" spans="1:2" ht="15.75">
      <c r="A266" s="2"/>
      <c r="B266" s="2"/>
    </row>
    <row r="267" spans="1:2" ht="15.75">
      <c r="A267" s="2"/>
      <c r="B267" s="2"/>
    </row>
    <row r="268" spans="1:2" ht="15.75">
      <c r="A268" s="2"/>
      <c r="B268" s="2"/>
    </row>
    <row r="269" spans="1:2" ht="15.75">
      <c r="A269" s="2"/>
      <c r="B269" s="2"/>
    </row>
    <row r="270" spans="1:2" ht="15.75">
      <c r="A270" s="2"/>
      <c r="B270" s="2"/>
    </row>
    <row r="271" spans="1:2" ht="15.75">
      <c r="A271" s="2"/>
      <c r="B271" s="2"/>
    </row>
    <row r="272" spans="1:2" ht="15.75">
      <c r="A272" s="2"/>
      <c r="B272" s="2"/>
    </row>
    <row r="273" spans="1:2" ht="15.75">
      <c r="A273" s="2"/>
      <c r="B273" s="2"/>
    </row>
    <row r="274" spans="1:2" ht="15.75">
      <c r="A274" s="2"/>
      <c r="B274" s="2"/>
    </row>
    <row r="275" spans="1:2" ht="15.75">
      <c r="A275" s="2"/>
      <c r="B275" s="2"/>
    </row>
    <row r="276" spans="1:2" ht="15.75">
      <c r="A276" s="2"/>
      <c r="B276" s="2"/>
    </row>
    <row r="277" spans="1:2" ht="15.75">
      <c r="A277" s="2"/>
      <c r="B277" s="2"/>
    </row>
    <row r="278" spans="1:2" ht="15.75">
      <c r="A278" s="2"/>
      <c r="B278" s="2"/>
    </row>
    <row r="279" spans="1:2" ht="15.75">
      <c r="A279" s="2"/>
      <c r="B279" s="2"/>
    </row>
    <row r="280" spans="1:2" ht="15.75">
      <c r="A280" s="2"/>
      <c r="B280" s="2"/>
    </row>
    <row r="281" spans="1:2" ht="15.75">
      <c r="A281" s="2"/>
      <c r="B281" s="2"/>
    </row>
    <row r="282" spans="1:2" ht="15.75">
      <c r="A282" s="2"/>
      <c r="B282" s="2"/>
    </row>
    <row r="283" spans="1:2" ht="15.75">
      <c r="A283" s="2"/>
      <c r="B283" s="2"/>
    </row>
    <row r="284" spans="1:2" ht="15.75">
      <c r="A284" s="2"/>
      <c r="B284" s="2"/>
    </row>
    <row r="285" spans="1:2" ht="15.75">
      <c r="A285" s="2"/>
      <c r="B285" s="2"/>
    </row>
    <row r="286" spans="1:2" ht="15.75">
      <c r="A286" s="2"/>
      <c r="B286" s="2"/>
    </row>
    <row r="287" spans="1:2" ht="15.75">
      <c r="A287" s="2"/>
      <c r="B287" s="2"/>
    </row>
    <row r="288" spans="1:2" ht="15.75">
      <c r="A288" s="2"/>
      <c r="B288" s="2"/>
    </row>
    <row r="289" spans="1:2" ht="15.75">
      <c r="A289" s="2"/>
      <c r="B289" s="2"/>
    </row>
    <row r="290" spans="1:2" ht="15.75">
      <c r="A290" s="2"/>
      <c r="B290" s="2"/>
    </row>
    <row r="291" spans="1:2" ht="15.75">
      <c r="A291" s="2"/>
      <c r="B291" s="2"/>
    </row>
    <row r="292" spans="1:2" ht="15.75">
      <c r="A292" s="2"/>
      <c r="B292" s="2"/>
    </row>
    <row r="293" spans="1:2" ht="15.75">
      <c r="A293" s="2"/>
      <c r="B293" s="2"/>
    </row>
    <row r="294" spans="1:2" ht="15.75">
      <c r="A294" s="2"/>
      <c r="B294" s="2"/>
    </row>
    <row r="295" spans="1:2" ht="15.75">
      <c r="A295" s="2"/>
      <c r="B295" s="2"/>
    </row>
    <row r="296" spans="1:2" ht="15.75">
      <c r="A296" s="2"/>
      <c r="B296" s="2"/>
    </row>
    <row r="297" spans="1:2" ht="15.75">
      <c r="A297" s="2"/>
      <c r="B297" s="2"/>
    </row>
    <row r="298" spans="1:2" ht="15.75">
      <c r="A298" s="2"/>
      <c r="B298" s="2"/>
    </row>
    <row r="299" spans="1:2" ht="15.75">
      <c r="A299" s="2"/>
      <c r="B299" s="2"/>
    </row>
    <row r="300" spans="1:2" ht="15.75">
      <c r="A300" s="2"/>
      <c r="B300" s="2"/>
    </row>
    <row r="301" spans="1:2" ht="15.75">
      <c r="A301" s="2"/>
      <c r="B301" s="2"/>
    </row>
    <row r="302" spans="1:2" ht="15.75">
      <c r="A302" s="2"/>
      <c r="B302" s="2"/>
    </row>
    <row r="303" spans="1:2" ht="15.75">
      <c r="A303" s="2"/>
      <c r="B303" s="2"/>
    </row>
    <row r="304" spans="1:2" ht="15.75">
      <c r="A304" s="2"/>
      <c r="B304" s="2"/>
    </row>
    <row r="305" spans="1:2" ht="15.75">
      <c r="A305" s="2"/>
      <c r="B305" s="2"/>
    </row>
    <row r="306" spans="1:2" ht="15.75">
      <c r="A306" s="2"/>
      <c r="B306" s="2"/>
    </row>
    <row r="307" spans="1:2" ht="15.75">
      <c r="A307" s="2"/>
      <c r="B307" s="2"/>
    </row>
    <row r="308" spans="1:2" ht="15.75">
      <c r="A308" s="2"/>
      <c r="B308" s="2"/>
    </row>
    <row r="309" spans="1:2" ht="15.75">
      <c r="A309" s="2"/>
      <c r="B309" s="2"/>
    </row>
    <row r="310" spans="1:2" ht="15.75">
      <c r="A310" s="2"/>
      <c r="B310" s="2"/>
    </row>
    <row r="311" spans="1:2" ht="15.75">
      <c r="A311" s="2"/>
      <c r="B311" s="2"/>
    </row>
    <row r="312" spans="1:2" ht="15.75">
      <c r="A312" s="2"/>
      <c r="B312" s="2"/>
    </row>
    <row r="313" spans="1:2" ht="15.75">
      <c r="A313" s="2"/>
      <c r="B313" s="2"/>
    </row>
    <row r="314" spans="1:2" ht="15.75">
      <c r="A314" s="2"/>
      <c r="B314" s="2"/>
    </row>
    <row r="315" spans="1:2" ht="15.75">
      <c r="A315" s="2"/>
      <c r="B315" s="2"/>
    </row>
    <row r="316" spans="1:2" ht="15.75">
      <c r="A316" s="2"/>
      <c r="B316" s="2"/>
    </row>
    <row r="317" spans="1:2" ht="15.75">
      <c r="A317" s="2"/>
      <c r="B317" s="2"/>
    </row>
    <row r="318" spans="1:2" ht="15.75">
      <c r="A318" s="2"/>
      <c r="B318" s="2"/>
    </row>
    <row r="319" spans="1:2" ht="15.75">
      <c r="A319" s="2"/>
      <c r="B319" s="2"/>
    </row>
    <row r="320" spans="1:2" ht="15.75">
      <c r="A320" s="2"/>
      <c r="B320" s="2"/>
    </row>
    <row r="321" spans="1:2" ht="15.75">
      <c r="A321" s="2"/>
      <c r="B321" s="2"/>
    </row>
    <row r="322" spans="1:2" ht="15.75">
      <c r="A322" s="2"/>
      <c r="B322" s="2"/>
    </row>
    <row r="323" spans="1:2" ht="15.75">
      <c r="A323" s="2"/>
      <c r="B323" s="2"/>
    </row>
    <row r="324" spans="1:2" ht="15.75">
      <c r="A324" s="2"/>
      <c r="B324" s="2"/>
    </row>
    <row r="325" spans="1:2" ht="15.75">
      <c r="A325" s="2"/>
      <c r="B325" s="2"/>
    </row>
    <row r="326" spans="1:2" ht="15.75">
      <c r="A326" s="2"/>
      <c r="B326" s="2"/>
    </row>
    <row r="327" spans="1:2" ht="15.75">
      <c r="A327" s="2"/>
      <c r="B327" s="2"/>
    </row>
    <row r="328" spans="1:2" ht="15.75">
      <c r="A328" s="2"/>
      <c r="B328" s="2"/>
    </row>
    <row r="329" spans="1:2" ht="15.75">
      <c r="A329" s="2"/>
      <c r="B329" s="2"/>
    </row>
    <row r="330" spans="1:2" ht="15.75">
      <c r="A330" s="2"/>
      <c r="B330" s="2"/>
    </row>
    <row r="331" spans="1:2" ht="15.75">
      <c r="A331" s="2"/>
      <c r="B331" s="2"/>
    </row>
    <row r="332" spans="1:2" ht="15.75">
      <c r="A332" s="2"/>
      <c r="B332" s="2"/>
    </row>
    <row r="333" spans="1:2" ht="15.75">
      <c r="A333" s="2"/>
      <c r="B333" s="2"/>
    </row>
    <row r="334" spans="1:2" ht="15.75">
      <c r="A334" s="2"/>
      <c r="B334" s="2"/>
    </row>
    <row r="335" spans="1:2" ht="15.75">
      <c r="A335" s="2"/>
      <c r="B335" s="2"/>
    </row>
    <row r="336" spans="1:2" ht="15.75">
      <c r="A336" s="2"/>
      <c r="B336" s="2"/>
    </row>
    <row r="337" spans="1:2" ht="15.75">
      <c r="A337" s="2"/>
      <c r="B337" s="2"/>
    </row>
    <row r="338" spans="1:2" ht="15.75">
      <c r="A338" s="2"/>
      <c r="B338" s="2"/>
    </row>
    <row r="339" spans="1:2" ht="15.75">
      <c r="A339" s="2"/>
      <c r="B339" s="2"/>
    </row>
    <row r="340" spans="1:2" ht="15.75">
      <c r="A340" s="2"/>
      <c r="B340" s="2"/>
    </row>
    <row r="341" spans="1:2" ht="15.75">
      <c r="A341" s="2"/>
      <c r="B341" s="2"/>
    </row>
    <row r="342" spans="1:2" ht="15.75">
      <c r="A342" s="2"/>
      <c r="B342" s="2"/>
    </row>
    <row r="343" spans="1:2" ht="15.75">
      <c r="A343" s="2"/>
      <c r="B343" s="2"/>
    </row>
    <row r="344" spans="1:2" ht="15.75">
      <c r="A344" s="2"/>
      <c r="B344" s="2"/>
    </row>
    <row r="345" spans="1:2" ht="15.75">
      <c r="A345" s="2"/>
      <c r="B345" s="2"/>
    </row>
    <row r="346" spans="1:2" ht="15.75">
      <c r="A346" s="2"/>
      <c r="B346" s="2"/>
    </row>
    <row r="347" spans="1:2" ht="15.75">
      <c r="A347" s="2"/>
      <c r="B347" s="2"/>
    </row>
    <row r="348" spans="1:2" ht="15.75">
      <c r="A348" s="2"/>
      <c r="B348" s="2"/>
    </row>
    <row r="349" spans="1:2" ht="15.75">
      <c r="A349" s="2"/>
      <c r="B349" s="2"/>
    </row>
    <row r="350" spans="1:2" ht="15.75">
      <c r="A350" s="2"/>
      <c r="B350" s="2"/>
    </row>
    <row r="351" spans="1:2" ht="15.75">
      <c r="A351" s="2"/>
      <c r="B351" s="2"/>
    </row>
    <row r="352" spans="1:2" ht="15.75">
      <c r="A352" s="2"/>
      <c r="B352" s="2"/>
    </row>
    <row r="353" spans="1:2" ht="15.75">
      <c r="A353" s="2"/>
      <c r="B353" s="2"/>
    </row>
    <row r="354" spans="1:2" ht="15.75">
      <c r="A354" s="2"/>
      <c r="B354" s="2"/>
    </row>
    <row r="355" spans="1:2" ht="15.75">
      <c r="A355" s="2"/>
      <c r="B355" s="2"/>
    </row>
    <row r="356" spans="1:2" ht="15.75">
      <c r="A356" s="2"/>
      <c r="B356" s="2"/>
    </row>
    <row r="357" spans="1:2" ht="15.75">
      <c r="A357" s="2"/>
      <c r="B357" s="2"/>
    </row>
    <row r="358" spans="1:2" ht="15.75">
      <c r="A358" s="2"/>
      <c r="B358" s="2"/>
    </row>
    <row r="359" spans="1:2" ht="15.75">
      <c r="A359" s="2"/>
      <c r="B359" s="2"/>
    </row>
    <row r="360" spans="1:2" ht="15.75">
      <c r="A360" s="2"/>
      <c r="B360" s="2"/>
    </row>
    <row r="361" spans="1:2" ht="15.75">
      <c r="A361" s="2"/>
      <c r="B361" s="2"/>
    </row>
    <row r="362" spans="1:2" ht="15.75">
      <c r="A362" s="2"/>
      <c r="B362" s="2"/>
    </row>
    <row r="363" spans="1:2" ht="15.75">
      <c r="A363" s="2"/>
      <c r="B363" s="2"/>
    </row>
    <row r="364" spans="1:2" ht="15.75">
      <c r="A364" s="2"/>
      <c r="B364" s="2"/>
    </row>
    <row r="365" spans="1:2" ht="15.75">
      <c r="A365" s="2"/>
      <c r="B365" s="2"/>
    </row>
    <row r="366" spans="1:2" ht="15.75">
      <c r="A366" s="2"/>
      <c r="B366" s="2"/>
    </row>
    <row r="367" spans="1:2" ht="15.75">
      <c r="A367" s="2"/>
      <c r="B367" s="2"/>
    </row>
    <row r="368" spans="1:2" ht="15.75">
      <c r="A368" s="2"/>
      <c r="B368" s="2"/>
    </row>
    <row r="369" spans="1:2" ht="15.75">
      <c r="A369" s="2"/>
      <c r="B369" s="2"/>
    </row>
    <row r="370" spans="1:2" ht="15.75">
      <c r="A370" s="2"/>
      <c r="B370" s="2"/>
    </row>
    <row r="371" spans="1:2" ht="15.75">
      <c r="A371" s="2"/>
      <c r="B371" s="2"/>
    </row>
    <row r="372" spans="1:2" ht="15.75">
      <c r="A372" s="2"/>
      <c r="B372" s="2"/>
    </row>
    <row r="373" spans="1:2" ht="15.75">
      <c r="A373" s="2"/>
      <c r="B373" s="2"/>
    </row>
    <row r="374" spans="1:2" ht="15.75">
      <c r="A374" s="2"/>
      <c r="B374" s="2"/>
    </row>
    <row r="375" spans="1:2" ht="15.75">
      <c r="A375" s="2"/>
      <c r="B375" s="2"/>
    </row>
    <row r="376" spans="1:2" ht="15.75">
      <c r="A376" s="2"/>
      <c r="B376" s="2"/>
    </row>
    <row r="377" spans="1:2" ht="15.75">
      <c r="A377" s="2"/>
      <c r="B377" s="2"/>
    </row>
    <row r="378" spans="1:2" ht="15.75">
      <c r="A378" s="2"/>
      <c r="B378" s="2"/>
    </row>
    <row r="379" spans="1:2" ht="15.75">
      <c r="A379" s="2"/>
      <c r="B379" s="2"/>
    </row>
    <row r="380" spans="1:2" ht="15.75">
      <c r="A380" s="2"/>
      <c r="B380" s="2"/>
    </row>
    <row r="381" spans="1:2" ht="15.75">
      <c r="A381" s="2"/>
      <c r="B381" s="2"/>
    </row>
    <row r="382" spans="1:2" ht="15.75">
      <c r="A382" s="2"/>
      <c r="B382" s="2"/>
    </row>
    <row r="383" spans="1:2" ht="15.75">
      <c r="A383" s="2"/>
      <c r="B383" s="2"/>
    </row>
    <row r="384" spans="1:2" ht="15.75">
      <c r="A384" s="2"/>
      <c r="B384" s="2"/>
    </row>
    <row r="385" spans="1:2" ht="15.75">
      <c r="A385" s="2"/>
      <c r="B385" s="2"/>
    </row>
    <row r="386" spans="1:2" ht="15.75">
      <c r="A386" s="2"/>
      <c r="B386" s="2"/>
    </row>
    <row r="387" spans="1:2" ht="15.75">
      <c r="A387" s="2"/>
      <c r="B387" s="2"/>
    </row>
    <row r="388" spans="1:2" ht="15.75">
      <c r="A388" s="2"/>
      <c r="B388" s="2"/>
    </row>
    <row r="389" spans="1:2" ht="15.75">
      <c r="A389" s="2"/>
      <c r="B389" s="2"/>
    </row>
    <row r="390" spans="1:2" ht="15.75">
      <c r="A390" s="2"/>
      <c r="B390" s="2"/>
    </row>
    <row r="391" spans="1:2" ht="15.75">
      <c r="A391" s="2"/>
      <c r="B391" s="2"/>
    </row>
    <row r="392" spans="1:2" ht="15.75">
      <c r="A392" s="2"/>
      <c r="B392" s="2"/>
    </row>
    <row r="393" spans="1:2" ht="15.75">
      <c r="A393" s="2"/>
      <c r="B393" s="2"/>
    </row>
    <row r="394" spans="1:2" ht="15.75">
      <c r="A394" s="2"/>
      <c r="B394" s="2"/>
    </row>
    <row r="395" spans="1:2" ht="15.75">
      <c r="A395" s="2"/>
      <c r="B395" s="2"/>
    </row>
    <row r="396" spans="1:2" ht="15.75">
      <c r="A396" s="2"/>
      <c r="B396" s="2"/>
    </row>
    <row r="397" spans="1:2" ht="15.75">
      <c r="A397" s="2"/>
      <c r="B397" s="2"/>
    </row>
    <row r="398" spans="1:2" ht="15.75">
      <c r="A398" s="2"/>
      <c r="B398" s="2"/>
    </row>
    <row r="399" spans="1:2" ht="15.75">
      <c r="A399" s="2"/>
      <c r="B399" s="2"/>
    </row>
    <row r="400" spans="1:2" ht="15.75">
      <c r="A400" s="2"/>
      <c r="B400" s="2"/>
    </row>
    <row r="401" spans="1:2" ht="15.75">
      <c r="A401" s="2"/>
      <c r="B401" s="2"/>
    </row>
    <row r="402" spans="1:2" ht="15.75">
      <c r="A402" s="2"/>
      <c r="B402" s="2"/>
    </row>
    <row r="403" spans="1:2" ht="15.75">
      <c r="A403" s="2"/>
      <c r="B403" s="2"/>
    </row>
    <row r="404" spans="1:2" ht="15.75">
      <c r="A404" s="2"/>
      <c r="B404" s="2"/>
    </row>
    <row r="405" spans="1:2" ht="15.75">
      <c r="A405" s="2"/>
      <c r="B405" s="2"/>
    </row>
    <row r="406" spans="1:2" ht="15.75">
      <c r="A406" s="2"/>
      <c r="B406" s="2"/>
    </row>
    <row r="407" spans="1:2" ht="15.75">
      <c r="A407" s="2"/>
      <c r="B407" s="2"/>
    </row>
    <row r="408" spans="1:2" ht="15.75">
      <c r="A408" s="2"/>
      <c r="B408" s="2"/>
    </row>
    <row r="409" spans="1:2" ht="15.75">
      <c r="A409" s="2"/>
      <c r="B409" s="2"/>
    </row>
    <row r="410" spans="1:2" ht="15.75">
      <c r="A410" s="2"/>
      <c r="B410" s="2"/>
    </row>
    <row r="411" spans="1:2" ht="15.75">
      <c r="A411" s="2"/>
      <c r="B411" s="2"/>
    </row>
    <row r="412" spans="1:2" ht="15.75">
      <c r="A412" s="2"/>
      <c r="B412" s="2"/>
    </row>
    <row r="413" spans="1:2" ht="15.75">
      <c r="A413" s="2"/>
      <c r="B413" s="2"/>
    </row>
    <row r="414" spans="1:2" ht="15.75">
      <c r="A414" s="2"/>
      <c r="B414" s="2"/>
    </row>
    <row r="415" spans="1:2" ht="15.75">
      <c r="A415" s="2"/>
      <c r="B415" s="2"/>
    </row>
    <row r="416" spans="1:2" ht="15.75">
      <c r="A416" s="2"/>
      <c r="B416" s="2"/>
    </row>
    <row r="417" spans="1:2" ht="15.75">
      <c r="A417" s="2"/>
      <c r="B417" s="2"/>
    </row>
    <row r="418" spans="1:2" ht="15.75">
      <c r="A418" s="2"/>
      <c r="B418" s="2"/>
    </row>
    <row r="419" spans="1:2" ht="15.75">
      <c r="A419" s="2"/>
      <c r="B419" s="2"/>
    </row>
    <row r="420" spans="1:2" ht="15.75">
      <c r="A420" s="2"/>
      <c r="B420" s="2"/>
    </row>
    <row r="421" spans="1:2" ht="15.75">
      <c r="A421" s="2"/>
      <c r="B421" s="2"/>
    </row>
    <row r="422" spans="1:2" ht="15.75">
      <c r="A422" s="2"/>
      <c r="B422" s="2"/>
    </row>
    <row r="423" spans="1:2" ht="15.75">
      <c r="A423" s="2"/>
      <c r="B423" s="2"/>
    </row>
    <row r="424" spans="1:2" ht="15.75">
      <c r="A424" s="2"/>
      <c r="B424" s="2"/>
    </row>
    <row r="425" spans="1:2" ht="15.75">
      <c r="A425" s="2"/>
      <c r="B425" s="2"/>
    </row>
    <row r="426" spans="1:2" ht="15.75">
      <c r="A426" s="2"/>
      <c r="B426" s="2"/>
    </row>
    <row r="427" spans="1:2" ht="15.75">
      <c r="A427" s="2"/>
      <c r="B427" s="2"/>
    </row>
    <row r="428" spans="1:2" ht="15.75">
      <c r="A428" s="2"/>
      <c r="B428" s="2"/>
    </row>
    <row r="429" spans="1:2" ht="15.75">
      <c r="A429" s="2"/>
      <c r="B429" s="2"/>
    </row>
    <row r="430" spans="1:2" ht="15.75">
      <c r="A430" s="2"/>
      <c r="B430" s="2"/>
    </row>
    <row r="431" spans="1:2" ht="15.75">
      <c r="A431" s="2"/>
      <c r="B431" s="2"/>
    </row>
    <row r="432" spans="1:2" ht="15.75">
      <c r="A432" s="2"/>
      <c r="B432" s="2"/>
    </row>
    <row r="433" spans="1:2" ht="15.75">
      <c r="A433" s="2"/>
      <c r="B433" s="2"/>
    </row>
    <row r="434" spans="1:2" ht="15.75">
      <c r="A434" s="2"/>
      <c r="B434" s="2"/>
    </row>
    <row r="435" spans="1:2" ht="15.75">
      <c r="A435" s="2"/>
      <c r="B435" s="2"/>
    </row>
    <row r="436" spans="1:2" ht="15.75">
      <c r="A436" s="2"/>
      <c r="B436" s="2"/>
    </row>
    <row r="437" spans="1:2" ht="15.75">
      <c r="A437" s="2"/>
      <c r="B437" s="2"/>
    </row>
    <row r="438" spans="1:2" ht="15.75">
      <c r="A438" s="2"/>
      <c r="B438" s="2"/>
    </row>
    <row r="439" spans="1:2" ht="15.75">
      <c r="A439" s="2"/>
      <c r="B439" s="2"/>
    </row>
    <row r="440" spans="1:2" ht="15.75">
      <c r="A440" s="2"/>
      <c r="B440" s="2"/>
    </row>
    <row r="441" spans="1:2" ht="15.75">
      <c r="A441" s="2"/>
      <c r="B441" s="2"/>
    </row>
    <row r="442" spans="1:2" ht="15.75">
      <c r="A442" s="2"/>
      <c r="B442" s="2"/>
    </row>
    <row r="443" spans="1:2" ht="15.75">
      <c r="A443" s="2"/>
      <c r="B443" s="2"/>
    </row>
    <row r="444" spans="1:2" ht="15.75">
      <c r="A444" s="2"/>
      <c r="B444" s="2"/>
    </row>
    <row r="445" spans="1:2" ht="15.75">
      <c r="A445" s="2"/>
      <c r="B445" s="2"/>
    </row>
    <row r="446" spans="1:2" ht="15.75">
      <c r="A446" s="2"/>
      <c r="B446" s="2"/>
    </row>
    <row r="447" spans="1:2" ht="15.75">
      <c r="A447" s="2"/>
      <c r="B447" s="2"/>
    </row>
    <row r="448" spans="1:2" ht="15.75">
      <c r="A448" s="2"/>
      <c r="B448" s="2"/>
    </row>
    <row r="449" spans="1:2" ht="15.75">
      <c r="A449" s="2"/>
      <c r="B449" s="2"/>
    </row>
    <row r="450" spans="1:2" ht="15.75">
      <c r="A450" s="2"/>
      <c r="B450" s="2"/>
    </row>
    <row r="451" spans="1:2" ht="15.75">
      <c r="A451" s="2"/>
      <c r="B451" s="2"/>
    </row>
    <row r="452" spans="1:2" ht="15.75">
      <c r="A452" s="2"/>
      <c r="B452" s="2"/>
    </row>
  </sheetData>
  <autoFilter ref="A13:V166" xr:uid="{5C1DD4F3-EF4F-4D9D-825E-A9AD08E3CD20}"/>
  <phoneticPr fontId="12" type="noConversion"/>
  <hyperlinks>
    <hyperlink ref="A52" r:id="rId1" display="javascript:__doPostBack('ctl00$Conteudo$grdBuscaAvancada$ctl02$lnkCD_Inscricao','')" xr:uid="{BCE2CB03-D1CA-419B-B30F-74E13403EAA4}"/>
    <hyperlink ref="A49" r:id="rId2" display="javascript:__doPostBack('ctl00$Conteudo$grdBuscaAvancada$ctl02$lnkCD_Inscricao','')" xr:uid="{554DCAB5-7C9E-4D48-A0D0-0EFB89A31E25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BE46-607C-461E-BD9C-1FF14030D7E7}">
  <dimension ref="A1:D37"/>
  <sheetViews>
    <sheetView topLeftCell="A19" workbookViewId="0">
      <selection activeCell="D25" sqref="D25"/>
    </sheetView>
  </sheetViews>
  <sheetFormatPr defaultRowHeight="15"/>
  <cols>
    <col min="1" max="1" width="61.42578125" customWidth="1"/>
    <col min="2" max="4" width="12.42578125" bestFit="1" customWidth="1"/>
  </cols>
  <sheetData>
    <row r="1" spans="1:4" ht="17.25">
      <c r="A1" s="276" t="s">
        <v>665</v>
      </c>
    </row>
    <row r="2" spans="1:4" ht="15.75">
      <c r="A2" s="63" t="s">
        <v>82</v>
      </c>
      <c r="B2" s="38" t="s">
        <v>25</v>
      </c>
      <c r="C2" s="38" t="s">
        <v>22</v>
      </c>
      <c r="D2" s="38" t="s">
        <v>23</v>
      </c>
    </row>
    <row r="3" spans="1:4" ht="15.75">
      <c r="A3" s="63" t="s">
        <v>83</v>
      </c>
      <c r="B3" s="278"/>
      <c r="C3" s="278"/>
      <c r="D3" s="38" t="s">
        <v>23</v>
      </c>
    </row>
    <row r="4" spans="1:4" ht="15.75">
      <c r="A4" s="63" t="s">
        <v>86</v>
      </c>
      <c r="B4" s="278"/>
      <c r="C4" s="278"/>
      <c r="D4" s="38" t="s">
        <v>23</v>
      </c>
    </row>
    <row r="5" spans="1:4" ht="15.75">
      <c r="A5" s="183" t="s">
        <v>148</v>
      </c>
      <c r="B5" s="278"/>
      <c r="C5" s="278"/>
      <c r="D5" s="38" t="s">
        <v>23</v>
      </c>
    </row>
    <row r="6" spans="1:4" ht="15.75">
      <c r="A6" s="63" t="s">
        <v>119</v>
      </c>
      <c r="B6" s="278"/>
      <c r="C6" s="38" t="s">
        <v>25</v>
      </c>
      <c r="D6" s="38" t="s">
        <v>22</v>
      </c>
    </row>
    <row r="7" spans="1:4" ht="15.75">
      <c r="A7" s="63" t="s">
        <v>124</v>
      </c>
      <c r="B7" s="38" t="s">
        <v>26</v>
      </c>
      <c r="C7" s="38" t="s">
        <v>25</v>
      </c>
      <c r="D7" s="38" t="s">
        <v>22</v>
      </c>
    </row>
    <row r="8" spans="1:4" ht="15.75">
      <c r="A8" s="63" t="s">
        <v>134</v>
      </c>
      <c r="B8" s="278"/>
      <c r="C8" s="278"/>
      <c r="D8" s="38" t="s">
        <v>22</v>
      </c>
    </row>
    <row r="9" spans="1:4" ht="15.75">
      <c r="A9" s="63" t="s">
        <v>142</v>
      </c>
      <c r="B9" s="278"/>
      <c r="C9" s="278"/>
      <c r="D9" s="38" t="s">
        <v>22</v>
      </c>
    </row>
    <row r="10" spans="1:4" ht="15.75">
      <c r="A10" s="63" t="s">
        <v>175</v>
      </c>
      <c r="B10" s="278"/>
      <c r="C10" s="278"/>
      <c r="D10" s="38" t="s">
        <v>22</v>
      </c>
    </row>
    <row r="11" spans="1:4" ht="15.75">
      <c r="A11" s="63" t="s">
        <v>186</v>
      </c>
      <c r="B11" s="278"/>
      <c r="C11" s="278"/>
      <c r="D11" s="38" t="s">
        <v>25</v>
      </c>
    </row>
    <row r="12" spans="1:4" ht="15.75">
      <c r="A12" s="63" t="s">
        <v>196</v>
      </c>
      <c r="B12" s="278"/>
      <c r="C12" s="278"/>
      <c r="D12" s="38" t="s">
        <v>25</v>
      </c>
    </row>
    <row r="13" spans="1:4" ht="15.75">
      <c r="A13" s="63" t="s">
        <v>201</v>
      </c>
      <c r="B13" s="278"/>
      <c r="C13" s="38" t="s">
        <v>26</v>
      </c>
      <c r="D13" s="38" t="s">
        <v>25</v>
      </c>
    </row>
    <row r="14" spans="1:4" ht="15.75">
      <c r="A14" s="232" t="s">
        <v>206</v>
      </c>
      <c r="B14" s="38" t="s">
        <v>28</v>
      </c>
      <c r="C14" s="38" t="s">
        <v>26</v>
      </c>
      <c r="D14" s="38" t="s">
        <v>25</v>
      </c>
    </row>
    <row r="15" spans="1:4" ht="15.75">
      <c r="A15" s="232" t="s">
        <v>227</v>
      </c>
      <c r="B15" s="278"/>
      <c r="C15" s="278"/>
      <c r="D15" s="38" t="s">
        <v>25</v>
      </c>
    </row>
    <row r="16" spans="1:4" ht="15.75">
      <c r="A16" s="232" t="s">
        <v>263</v>
      </c>
      <c r="B16" s="278"/>
      <c r="C16" s="278"/>
      <c r="D16" s="38" t="s">
        <v>25</v>
      </c>
    </row>
    <row r="17" spans="1:4" ht="15.75">
      <c r="A17" s="232" t="s">
        <v>270</v>
      </c>
      <c r="B17" s="278"/>
      <c r="C17" s="278"/>
      <c r="D17" s="38" t="s">
        <v>25</v>
      </c>
    </row>
    <row r="18" spans="1:4" ht="15.75">
      <c r="A18" s="232" t="s">
        <v>266</v>
      </c>
      <c r="B18" s="278"/>
      <c r="C18" s="278"/>
      <c r="D18" s="38" t="s">
        <v>25</v>
      </c>
    </row>
    <row r="19" spans="1:4" ht="15.75">
      <c r="A19" s="232" t="s">
        <v>283</v>
      </c>
      <c r="B19" s="278"/>
      <c r="C19" s="278"/>
      <c r="D19" s="38" t="s">
        <v>25</v>
      </c>
    </row>
    <row r="20" spans="1:4" ht="15.75">
      <c r="A20" s="232" t="s">
        <v>401</v>
      </c>
      <c r="B20" s="38" t="s">
        <v>28</v>
      </c>
      <c r="C20" s="38" t="s">
        <v>26</v>
      </c>
      <c r="D20" s="38" t="s">
        <v>25</v>
      </c>
    </row>
    <row r="21" spans="1:4" ht="15.75">
      <c r="A21" s="232" t="s">
        <v>402</v>
      </c>
      <c r="B21" s="38" t="s">
        <v>28</v>
      </c>
      <c r="C21" s="38" t="s">
        <v>26</v>
      </c>
      <c r="D21" s="38" t="s">
        <v>25</v>
      </c>
    </row>
    <row r="22" spans="1:4" ht="15.75">
      <c r="A22" s="232" t="s">
        <v>301</v>
      </c>
      <c r="B22" s="278"/>
      <c r="C22" s="278"/>
      <c r="D22" s="38" t="s">
        <v>26</v>
      </c>
    </row>
    <row r="23" spans="1:4" ht="15.75">
      <c r="A23" s="232" t="s">
        <v>307</v>
      </c>
      <c r="B23" s="278"/>
      <c r="C23" s="38" t="s">
        <v>28</v>
      </c>
      <c r="D23" s="38" t="s">
        <v>26</v>
      </c>
    </row>
    <row r="24" spans="1:4" ht="15.75">
      <c r="A24" s="232" t="s">
        <v>306</v>
      </c>
      <c r="B24" s="278"/>
      <c r="C24" s="38" t="s">
        <v>28</v>
      </c>
      <c r="D24" s="38" t="s">
        <v>26</v>
      </c>
    </row>
    <row r="25" spans="1:4" ht="15.75">
      <c r="A25" s="232" t="s">
        <v>318</v>
      </c>
      <c r="B25" s="278"/>
      <c r="C25" s="38" t="s">
        <v>28</v>
      </c>
      <c r="D25" s="38" t="s">
        <v>26</v>
      </c>
    </row>
    <row r="26" spans="1:4" ht="15.75">
      <c r="A26" s="232" t="s">
        <v>339</v>
      </c>
      <c r="B26" s="278"/>
      <c r="C26" s="38" t="s">
        <v>28</v>
      </c>
      <c r="D26" s="38" t="s">
        <v>26</v>
      </c>
    </row>
    <row r="27" spans="1:4" ht="15.75">
      <c r="A27" s="232" t="s">
        <v>383</v>
      </c>
      <c r="B27" s="278"/>
      <c r="C27" s="278"/>
      <c r="D27" s="38" t="s">
        <v>26</v>
      </c>
    </row>
    <row r="28" spans="1:4" ht="15.75">
      <c r="A28" s="232" t="s">
        <v>381</v>
      </c>
      <c r="B28" s="278"/>
      <c r="C28" s="38" t="s">
        <v>28</v>
      </c>
      <c r="D28" s="38" t="s">
        <v>26</v>
      </c>
    </row>
    <row r="29" spans="1:4" ht="15.75">
      <c r="A29" s="277" t="s">
        <v>388</v>
      </c>
      <c r="B29" s="278"/>
      <c r="C29" s="38" t="s">
        <v>28</v>
      </c>
      <c r="D29" s="38" t="s">
        <v>26</v>
      </c>
    </row>
    <row r="30" spans="1:4" ht="15.75">
      <c r="A30" s="232" t="s">
        <v>400</v>
      </c>
      <c r="B30" s="278"/>
      <c r="C30" s="38" t="s">
        <v>28</v>
      </c>
      <c r="D30" s="38" t="s">
        <v>26</v>
      </c>
    </row>
    <row r="31" spans="1:4" ht="15.75">
      <c r="A31" s="63" t="s">
        <v>409</v>
      </c>
      <c r="B31" s="278"/>
      <c r="C31" s="278"/>
      <c r="D31" s="38" t="s">
        <v>28</v>
      </c>
    </row>
    <row r="32" spans="1:4" ht="15.75">
      <c r="A32" s="183" t="s">
        <v>416</v>
      </c>
      <c r="B32" s="278"/>
      <c r="C32" s="278"/>
      <c r="D32" s="38" t="s">
        <v>28</v>
      </c>
    </row>
    <row r="33" spans="1:4" ht="15.75">
      <c r="A33" s="183" t="s">
        <v>431</v>
      </c>
      <c r="B33" s="278"/>
      <c r="C33" s="278"/>
      <c r="D33" s="38" t="s">
        <v>28</v>
      </c>
    </row>
    <row r="34" spans="1:4" ht="15.75">
      <c r="A34" s="183" t="s">
        <v>434</v>
      </c>
      <c r="B34" s="278"/>
      <c r="C34" s="278"/>
      <c r="D34" s="38" t="s">
        <v>28</v>
      </c>
    </row>
    <row r="35" spans="1:4" ht="15.75">
      <c r="A35" s="183" t="s">
        <v>451</v>
      </c>
      <c r="B35" s="278"/>
      <c r="C35" s="278"/>
      <c r="D35" s="38" t="s">
        <v>28</v>
      </c>
    </row>
    <row r="36" spans="1:4" ht="15.75">
      <c r="A36" s="183" t="s">
        <v>491</v>
      </c>
      <c r="B36" s="278"/>
      <c r="C36" s="278"/>
      <c r="D36" s="38" t="s">
        <v>28</v>
      </c>
    </row>
    <row r="37" spans="1:4" ht="15.75">
      <c r="A37" s="183" t="s">
        <v>501</v>
      </c>
      <c r="B37" s="278"/>
      <c r="C37" s="278"/>
      <c r="D37" s="38" t="s">
        <v>28</v>
      </c>
    </row>
  </sheetData>
  <pageMargins left="0.51181102362204722" right="0.51181102362204722" top="0.78740157480314965" bottom="0.78740157480314965" header="0.31496062992125984" footer="0.31496062992125984"/>
  <pageSetup paperSize="9" scale="9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D0FE-5224-40D9-8C6D-6B6912DFA04B}">
  <dimension ref="A1:DJ401"/>
  <sheetViews>
    <sheetView topLeftCell="A238" zoomScale="90" zoomScaleNormal="90" workbookViewId="0">
      <selection activeCell="C246" sqref="C246"/>
    </sheetView>
  </sheetViews>
  <sheetFormatPr defaultRowHeight="15"/>
  <cols>
    <col min="1" max="1" width="14.7109375" style="46" customWidth="1"/>
    <col min="2" max="2" width="58.7109375" bestFit="1" customWidth="1"/>
    <col min="3" max="3" width="22.7109375" style="46" bestFit="1" customWidth="1"/>
    <col min="5" max="5" width="12.140625" bestFit="1" customWidth="1"/>
    <col min="6" max="6" width="46.28515625" bestFit="1" customWidth="1"/>
    <col min="7" max="7" width="18.42578125" bestFit="1" customWidth="1"/>
    <col min="8" max="8" width="33.42578125" customWidth="1"/>
  </cols>
  <sheetData>
    <row r="1" spans="1:8" s="51" customFormat="1" ht="15.75">
      <c r="A1" s="47"/>
      <c r="B1" s="48"/>
      <c r="C1" s="47"/>
      <c r="D1" s="48"/>
      <c r="E1" s="49"/>
      <c r="F1" s="49"/>
      <c r="G1" s="50"/>
      <c r="H1" s="48"/>
    </row>
    <row r="2" spans="1:8" s="51" customFormat="1" ht="16.5" thickBot="1">
      <c r="A2" s="47"/>
      <c r="B2" s="48"/>
      <c r="C2" s="47"/>
      <c r="D2" s="48"/>
      <c r="E2" s="49"/>
      <c r="F2" s="49"/>
      <c r="G2" s="50"/>
      <c r="H2" s="48"/>
    </row>
    <row r="3" spans="1:8" s="51" customFormat="1" ht="15.75">
      <c r="A3" s="47"/>
      <c r="B3" s="291" t="s">
        <v>29</v>
      </c>
      <c r="C3" s="292"/>
      <c r="D3" s="48"/>
      <c r="E3" s="49"/>
      <c r="F3" s="49"/>
      <c r="G3" s="50"/>
      <c r="H3" s="48"/>
    </row>
    <row r="4" spans="1:8" s="51" customFormat="1" ht="15.75">
      <c r="A4" s="47"/>
      <c r="B4" s="293" t="s">
        <v>79</v>
      </c>
      <c r="C4" s="294"/>
      <c r="D4" s="48"/>
      <c r="E4" s="49"/>
      <c r="F4" s="49"/>
      <c r="G4" s="50"/>
      <c r="H4" s="48"/>
    </row>
    <row r="5" spans="1:8" s="51" customFormat="1" ht="16.5" thickBot="1">
      <c r="A5" s="47"/>
      <c r="B5" s="295" t="s">
        <v>52</v>
      </c>
      <c r="C5" s="296"/>
      <c r="D5" s="48"/>
      <c r="E5" s="49"/>
      <c r="F5" s="49"/>
      <c r="G5" s="50"/>
      <c r="H5" s="48"/>
    </row>
    <row r="6" spans="1:8" s="51" customFormat="1" ht="15.75">
      <c r="A6" s="47"/>
      <c r="B6" s="52"/>
      <c r="C6" s="47"/>
      <c r="D6" s="48"/>
      <c r="E6" s="49"/>
      <c r="F6" s="49"/>
      <c r="G6" s="50"/>
      <c r="H6" s="48"/>
    </row>
    <row r="7" spans="1:8" s="51" customFormat="1" ht="15.75">
      <c r="A7" s="47"/>
      <c r="B7" s="52"/>
      <c r="C7" s="47"/>
      <c r="D7" s="48"/>
      <c r="E7" s="49"/>
      <c r="F7" s="49"/>
      <c r="G7" s="50"/>
      <c r="H7" s="48"/>
    </row>
    <row r="8" spans="1:8" s="51" customFormat="1" ht="15.75">
      <c r="A8" s="47"/>
      <c r="B8" s="48"/>
      <c r="C8" s="47"/>
      <c r="D8" s="48"/>
      <c r="E8" s="49"/>
      <c r="F8" s="49"/>
      <c r="G8" s="50"/>
      <c r="H8" s="48"/>
    </row>
    <row r="9" spans="1:8" s="51" customFormat="1" ht="15.75">
      <c r="A9" s="47"/>
      <c r="B9" s="107" t="s">
        <v>80</v>
      </c>
      <c r="C9" s="47"/>
      <c r="D9" s="48"/>
      <c r="E9" s="53"/>
      <c r="F9" s="107" t="s">
        <v>80</v>
      </c>
      <c r="G9" s="54"/>
      <c r="H9" s="48"/>
    </row>
    <row r="10" spans="1:8" s="51" customFormat="1" ht="15.75">
      <c r="A10" s="55"/>
      <c r="B10" s="107" t="s">
        <v>30</v>
      </c>
      <c r="C10" s="47"/>
      <c r="D10" s="48"/>
      <c r="E10" s="53"/>
      <c r="F10" s="107" t="s">
        <v>31</v>
      </c>
      <c r="G10" s="54"/>
      <c r="H10" s="48"/>
    </row>
    <row r="11" spans="1:8" s="51" customFormat="1" ht="15.75">
      <c r="A11" s="107" t="s">
        <v>32</v>
      </c>
      <c r="B11" s="107" t="s">
        <v>33</v>
      </c>
      <c r="C11" s="108" t="s">
        <v>34</v>
      </c>
      <c r="D11" s="48"/>
      <c r="E11" s="107" t="s">
        <v>32</v>
      </c>
      <c r="F11" s="107" t="s">
        <v>33</v>
      </c>
      <c r="G11" s="109" t="s">
        <v>34</v>
      </c>
      <c r="H11" s="48"/>
    </row>
    <row r="12" spans="1:8" s="51" customFormat="1" ht="15.75">
      <c r="A12" s="56"/>
      <c r="B12" s="57"/>
      <c r="C12" s="58"/>
      <c r="D12" s="48"/>
      <c r="E12" s="56"/>
      <c r="F12" s="59"/>
      <c r="G12" s="58"/>
      <c r="H12" s="48"/>
    </row>
    <row r="13" spans="1:8" s="51" customFormat="1" ht="15.75">
      <c r="A13" s="56"/>
      <c r="B13" s="57"/>
      <c r="C13" s="60"/>
      <c r="D13" s="48"/>
      <c r="E13" s="56"/>
      <c r="F13" s="59"/>
      <c r="G13" s="58"/>
      <c r="H13" s="48"/>
    </row>
    <row r="14" spans="1:8" s="51" customFormat="1" ht="15.75">
      <c r="A14" s="56"/>
      <c r="B14" s="57"/>
      <c r="C14" s="60"/>
      <c r="D14" s="48"/>
      <c r="E14" s="56"/>
      <c r="F14" s="59"/>
      <c r="G14" s="58"/>
      <c r="H14" s="48"/>
    </row>
    <row r="15" spans="1:8" s="51" customFormat="1" ht="15.75">
      <c r="A15" s="56"/>
      <c r="B15" s="44"/>
      <c r="C15" s="61"/>
      <c r="D15" s="48"/>
      <c r="E15" s="56"/>
      <c r="F15" s="59"/>
      <c r="G15" s="58"/>
      <c r="H15" s="48"/>
    </row>
    <row r="16" spans="1:8" s="51" customFormat="1" ht="15.75">
      <c r="A16" s="56"/>
      <c r="B16" s="62"/>
      <c r="C16" s="60"/>
      <c r="D16" s="48"/>
      <c r="E16" s="56"/>
      <c r="F16" s="59"/>
      <c r="G16" s="58"/>
      <c r="H16" s="48"/>
    </row>
    <row r="17" spans="1:114" s="51" customFormat="1" ht="15.75">
      <c r="A17" s="56"/>
      <c r="B17" s="63"/>
      <c r="C17" s="58"/>
      <c r="D17" s="48"/>
      <c r="E17" s="56"/>
      <c r="F17" s="59"/>
      <c r="G17" s="58"/>
      <c r="H17" s="48"/>
    </row>
    <row r="18" spans="1:114" s="51" customFormat="1" ht="15.75">
      <c r="A18" s="64"/>
      <c r="B18" s="44"/>
      <c r="C18" s="58"/>
      <c r="D18" s="48"/>
      <c r="E18" s="56"/>
      <c r="F18" s="59"/>
      <c r="G18" s="58"/>
      <c r="H18" s="48"/>
    </row>
    <row r="19" spans="1:114" s="51" customFormat="1" ht="15.75">
      <c r="A19" s="56"/>
      <c r="B19" s="44"/>
      <c r="C19" s="58"/>
      <c r="D19" s="48"/>
      <c r="E19" s="56"/>
      <c r="F19" s="59"/>
      <c r="G19" s="58"/>
      <c r="H19" s="48"/>
    </row>
    <row r="20" spans="1:114" s="51" customFormat="1" ht="15.75">
      <c r="A20" s="56"/>
      <c r="B20" s="44"/>
      <c r="C20" s="58"/>
      <c r="D20" s="48"/>
      <c r="E20" s="56"/>
      <c r="F20" s="65"/>
      <c r="G20" s="58"/>
      <c r="H20" s="48"/>
    </row>
    <row r="21" spans="1:114" s="51" customFormat="1" ht="15.75">
      <c r="A21" s="56"/>
      <c r="B21" s="66"/>
      <c r="C21" s="58"/>
      <c r="D21" s="48"/>
      <c r="E21" s="56"/>
      <c r="F21" s="65"/>
      <c r="G21" s="60"/>
      <c r="H21" s="48"/>
    </row>
    <row r="22" spans="1:114" s="51" customFormat="1" ht="15.75">
      <c r="A22" s="56"/>
      <c r="B22" s="44"/>
      <c r="C22" s="58"/>
      <c r="D22" s="48"/>
      <c r="E22" s="56"/>
      <c r="F22" s="67"/>
      <c r="G22" s="61"/>
      <c r="H22" s="48"/>
    </row>
    <row r="23" spans="1:114" s="51" customFormat="1" ht="15.75">
      <c r="A23" s="56"/>
      <c r="B23" s="44"/>
      <c r="C23" s="58"/>
      <c r="D23" s="48"/>
      <c r="E23" s="56"/>
      <c r="F23" s="67"/>
      <c r="G23" s="61"/>
      <c r="H23" s="48"/>
    </row>
    <row r="24" spans="1:114" s="51" customFormat="1" ht="15.75">
      <c r="A24" s="56"/>
      <c r="B24" s="44"/>
      <c r="C24" s="58"/>
      <c r="D24" s="48"/>
      <c r="E24" s="68"/>
      <c r="F24" s="69"/>
      <c r="G24" s="70"/>
      <c r="H24" s="48"/>
    </row>
    <row r="25" spans="1:114" s="51" customFormat="1" ht="15.75">
      <c r="A25" s="56"/>
      <c r="B25" s="57"/>
      <c r="C25" s="61"/>
      <c r="D25" s="48"/>
      <c r="E25" s="68"/>
      <c r="F25" s="71"/>
      <c r="G25" s="70"/>
      <c r="H25" s="48"/>
    </row>
    <row r="26" spans="1:114" s="51" customFormat="1" ht="15.75">
      <c r="A26" s="56"/>
      <c r="B26" s="57"/>
      <c r="C26" s="58"/>
      <c r="D26" s="48"/>
      <c r="E26" s="72"/>
      <c r="F26" s="59"/>
      <c r="G26" s="70"/>
      <c r="H26" s="48"/>
    </row>
    <row r="27" spans="1:114" s="51" customFormat="1" ht="15.75">
      <c r="A27" s="56"/>
      <c r="B27" s="73"/>
      <c r="C27" s="58"/>
      <c r="D27" s="48"/>
      <c r="E27" s="74"/>
      <c r="F27" s="59"/>
      <c r="G27" s="70"/>
      <c r="H27" s="48"/>
    </row>
    <row r="28" spans="1:114" s="51" customFormat="1" ht="15.75">
      <c r="A28" s="75"/>
      <c r="B28" s="59"/>
      <c r="C28" s="58"/>
      <c r="D28" s="48"/>
      <c r="E28" s="74"/>
      <c r="F28" s="59"/>
      <c r="G28" s="70"/>
      <c r="H28" s="48"/>
    </row>
    <row r="29" spans="1:114" s="51" customFormat="1" ht="15.75">
      <c r="A29" s="75"/>
      <c r="B29" s="59"/>
      <c r="C29" s="58"/>
      <c r="D29" s="48"/>
      <c r="E29" s="74"/>
      <c r="F29" s="76"/>
      <c r="G29" s="70"/>
      <c r="H29" s="48"/>
    </row>
    <row r="30" spans="1:114" s="51" customFormat="1" ht="15.75">
      <c r="A30" s="75"/>
      <c r="B30" s="59"/>
      <c r="C30" s="58"/>
      <c r="D30" s="48"/>
      <c r="E30" s="74"/>
      <c r="F30" s="76"/>
      <c r="G30" s="70"/>
      <c r="H30" s="48"/>
    </row>
    <row r="31" spans="1:114" s="51" customFormat="1" ht="15.75">
      <c r="A31" s="77"/>
      <c r="B31" s="78" t="s">
        <v>35</v>
      </c>
      <c r="C31" s="79">
        <f>SUM(C12:C27)</f>
        <v>0</v>
      </c>
      <c r="D31" s="48"/>
      <c r="E31" s="80"/>
      <c r="F31" s="78" t="s">
        <v>35</v>
      </c>
      <c r="G31" s="79">
        <f>SUM(G12:G28)</f>
        <v>0</v>
      </c>
      <c r="H31" s="48"/>
    </row>
    <row r="32" spans="1:114" s="48" customFormat="1" ht="15.75">
      <c r="A32" s="47"/>
      <c r="C32" s="47"/>
      <c r="E32" s="80"/>
      <c r="F32" s="81"/>
      <c r="G32" s="82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</row>
    <row r="33" spans="1:11" s="51" customFormat="1" ht="15.75">
      <c r="A33" s="47"/>
      <c r="B33" s="107" t="s">
        <v>80</v>
      </c>
      <c r="C33" s="47"/>
      <c r="D33" s="48"/>
      <c r="E33" s="53"/>
      <c r="F33" s="107" t="s">
        <v>80</v>
      </c>
      <c r="G33" s="54"/>
      <c r="H33" s="48"/>
    </row>
    <row r="34" spans="1:11" s="51" customFormat="1" ht="15.75">
      <c r="A34" s="55"/>
      <c r="B34" s="107" t="s">
        <v>36</v>
      </c>
      <c r="C34" s="47"/>
      <c r="D34" s="48"/>
      <c r="E34" s="53"/>
      <c r="F34" s="107" t="s">
        <v>37</v>
      </c>
      <c r="G34" s="54"/>
      <c r="H34" s="48"/>
    </row>
    <row r="35" spans="1:11" s="51" customFormat="1" ht="15.75">
      <c r="A35" s="107" t="s">
        <v>32</v>
      </c>
      <c r="B35" s="107" t="s">
        <v>33</v>
      </c>
      <c r="C35" s="108" t="s">
        <v>34</v>
      </c>
      <c r="D35" s="48"/>
      <c r="E35" s="107" t="s">
        <v>32</v>
      </c>
      <c r="F35" s="107" t="s">
        <v>33</v>
      </c>
      <c r="G35" s="109" t="s">
        <v>34</v>
      </c>
      <c r="H35" s="48"/>
    </row>
    <row r="36" spans="1:11" s="51" customFormat="1" ht="15.75">
      <c r="A36" s="56"/>
      <c r="B36" s="57"/>
      <c r="C36" s="58"/>
      <c r="D36" s="48"/>
      <c r="E36" s="74"/>
      <c r="F36" s="76"/>
      <c r="G36" s="70"/>
      <c r="H36" s="48"/>
    </row>
    <row r="37" spans="1:11" s="51" customFormat="1" ht="15.75">
      <c r="A37" s="56"/>
      <c r="B37" s="57"/>
      <c r="C37" s="60"/>
      <c r="D37" s="48"/>
      <c r="E37" s="74"/>
      <c r="F37" s="76"/>
      <c r="G37" s="70"/>
      <c r="H37" s="48"/>
    </row>
    <row r="38" spans="1:11" s="51" customFormat="1" ht="15.75">
      <c r="A38" s="56"/>
      <c r="B38" s="57"/>
      <c r="C38" s="60"/>
      <c r="D38" s="48"/>
      <c r="E38" s="74"/>
      <c r="F38" s="65"/>
      <c r="G38" s="84"/>
      <c r="H38" s="48"/>
    </row>
    <row r="39" spans="1:11" s="51" customFormat="1" ht="15.75">
      <c r="A39" s="56"/>
      <c r="B39" s="44"/>
      <c r="C39" s="61"/>
      <c r="D39" s="48"/>
      <c r="E39" s="74"/>
      <c r="F39" s="65"/>
      <c r="G39" s="70"/>
      <c r="H39" s="48"/>
    </row>
    <row r="40" spans="1:11" s="51" customFormat="1" ht="15.75">
      <c r="A40" s="56"/>
      <c r="B40" s="62"/>
      <c r="C40" s="60"/>
      <c r="D40" s="48"/>
      <c r="E40" s="74"/>
      <c r="F40" s="73"/>
      <c r="G40" s="70"/>
      <c r="H40" s="48"/>
    </row>
    <row r="41" spans="1:11" s="51" customFormat="1" ht="15.75">
      <c r="A41" s="56"/>
      <c r="B41" s="67"/>
      <c r="C41" s="60"/>
      <c r="D41" s="48"/>
      <c r="E41" s="74"/>
      <c r="F41" s="65"/>
      <c r="G41" s="70"/>
      <c r="H41" s="48"/>
    </row>
    <row r="42" spans="1:11" s="51" customFormat="1" ht="15.75">
      <c r="A42" s="64"/>
      <c r="B42" s="86"/>
      <c r="C42" s="58"/>
      <c r="D42" s="48"/>
      <c r="E42" s="74"/>
      <c r="F42" s="65"/>
      <c r="G42" s="70"/>
      <c r="H42" s="48"/>
    </row>
    <row r="43" spans="1:11" s="51" customFormat="1" ht="15.75">
      <c r="A43" s="83"/>
      <c r="B43" s="85"/>
      <c r="C43" s="87"/>
      <c r="D43" s="48"/>
      <c r="E43" s="74"/>
      <c r="F43" s="67"/>
      <c r="G43" s="84"/>
      <c r="H43" s="48"/>
    </row>
    <row r="44" spans="1:11" s="51" customFormat="1" ht="15.75">
      <c r="A44" s="83"/>
      <c r="B44" s="67"/>
      <c r="C44" s="87"/>
      <c r="D44" s="48"/>
      <c r="E44" s="74"/>
      <c r="F44" s="85"/>
      <c r="G44" s="70"/>
      <c r="H44" s="48"/>
    </row>
    <row r="45" spans="1:11" s="51" customFormat="1" ht="15.75">
      <c r="A45" s="83"/>
      <c r="B45" s="85"/>
      <c r="C45" s="58"/>
      <c r="D45" s="48"/>
      <c r="E45" s="72"/>
      <c r="F45" s="67"/>
      <c r="G45" s="70"/>
      <c r="H45" s="48"/>
    </row>
    <row r="46" spans="1:11" s="51" customFormat="1" ht="15.75">
      <c r="A46" s="83"/>
      <c r="B46" s="85"/>
      <c r="C46" s="58"/>
      <c r="D46" s="48"/>
      <c r="E46" s="72"/>
      <c r="F46" s="67"/>
      <c r="G46" s="70"/>
      <c r="H46" s="48"/>
    </row>
    <row r="47" spans="1:11" s="51" customFormat="1" ht="15.75">
      <c r="A47" s="83"/>
      <c r="B47" s="85"/>
      <c r="C47" s="58"/>
      <c r="D47" s="48"/>
      <c r="E47" s="72"/>
      <c r="F47" s="86"/>
      <c r="G47" s="70"/>
      <c r="H47" s="48"/>
      <c r="K47" s="88"/>
    </row>
    <row r="48" spans="1:11" s="51" customFormat="1" ht="15.75">
      <c r="A48" s="83"/>
      <c r="B48" s="85"/>
      <c r="C48" s="58"/>
      <c r="D48" s="48"/>
      <c r="E48" s="89"/>
      <c r="F48" s="85"/>
      <c r="G48" s="90"/>
      <c r="H48" s="48"/>
      <c r="K48" s="88"/>
    </row>
    <row r="49" spans="1:114" s="51" customFormat="1" ht="15.75">
      <c r="A49" s="83"/>
      <c r="B49" s="85"/>
      <c r="C49" s="58"/>
      <c r="D49" s="48"/>
      <c r="E49" s="89"/>
      <c r="F49" s="67"/>
      <c r="G49" s="90"/>
      <c r="H49" s="48"/>
      <c r="K49" s="91"/>
    </row>
    <row r="50" spans="1:114" s="51" customFormat="1" ht="15.75">
      <c r="A50" s="56"/>
      <c r="B50" s="76"/>
      <c r="C50" s="58"/>
      <c r="D50" s="48"/>
      <c r="E50" s="89"/>
      <c r="F50" s="85"/>
      <c r="G50" s="70"/>
      <c r="H50" s="48"/>
    </row>
    <row r="51" spans="1:114" s="51" customFormat="1" ht="15.75">
      <c r="A51" s="56"/>
      <c r="B51" s="76"/>
      <c r="C51" s="58"/>
      <c r="D51" s="48"/>
      <c r="E51" s="89"/>
      <c r="F51" s="85"/>
      <c r="G51" s="70"/>
      <c r="H51" s="48"/>
    </row>
    <row r="52" spans="1:114" s="51" customFormat="1" ht="15.75">
      <c r="A52" s="56"/>
      <c r="B52" s="76"/>
      <c r="C52" s="58"/>
      <c r="D52" s="48"/>
      <c r="E52" s="89"/>
      <c r="F52" s="85"/>
      <c r="G52" s="70"/>
      <c r="H52" s="48"/>
    </row>
    <row r="53" spans="1:114" s="51" customFormat="1" ht="15.75">
      <c r="A53" s="56"/>
      <c r="B53" s="76"/>
      <c r="C53" s="58"/>
      <c r="D53" s="48"/>
      <c r="E53" s="74"/>
      <c r="F53" s="76"/>
      <c r="G53" s="70"/>
      <c r="H53" s="48"/>
    </row>
    <row r="54" spans="1:114" s="51" customFormat="1" ht="15.75">
      <c r="A54" s="56"/>
      <c r="B54" s="76"/>
      <c r="C54" s="58"/>
      <c r="D54" s="48"/>
      <c r="E54" s="74"/>
      <c r="F54" s="76"/>
      <c r="G54" s="70"/>
      <c r="H54" s="48"/>
    </row>
    <row r="55" spans="1:114" s="51" customFormat="1" ht="15.75">
      <c r="A55" s="56"/>
      <c r="B55" s="76"/>
      <c r="C55" s="58"/>
      <c r="D55" s="48"/>
      <c r="E55" s="74"/>
      <c r="F55" s="76"/>
      <c r="G55" s="70"/>
      <c r="H55" s="48"/>
    </row>
    <row r="56" spans="1:114" s="51" customFormat="1" ht="15.75">
      <c r="A56" s="56"/>
      <c r="B56" s="76"/>
      <c r="C56" s="58"/>
      <c r="D56" s="48"/>
      <c r="E56" s="74"/>
      <c r="F56" s="76"/>
      <c r="G56" s="70"/>
      <c r="H56" s="48"/>
    </row>
    <row r="57" spans="1:114" s="51" customFormat="1" ht="15.75">
      <c r="A57" s="56"/>
      <c r="B57" s="76"/>
      <c r="C57" s="58"/>
      <c r="D57" s="48"/>
      <c r="E57" s="74"/>
      <c r="F57" s="67"/>
      <c r="G57" s="84"/>
      <c r="H57" s="48"/>
    </row>
    <row r="58" spans="1:114" s="51" customFormat="1" ht="15.75">
      <c r="A58" s="56"/>
      <c r="B58" s="76"/>
      <c r="C58" s="58"/>
      <c r="D58" s="48"/>
      <c r="E58" s="74"/>
      <c r="F58" s="76"/>
      <c r="G58" s="70"/>
      <c r="H58" s="48"/>
    </row>
    <row r="59" spans="1:114" s="51" customFormat="1" ht="15.75">
      <c r="A59" s="56"/>
      <c r="B59" s="76"/>
      <c r="C59" s="58"/>
      <c r="D59" s="48"/>
      <c r="E59" s="74"/>
      <c r="F59" s="76"/>
      <c r="G59" s="70"/>
      <c r="H59" s="48"/>
    </row>
    <row r="60" spans="1:114" s="51" customFormat="1" ht="15.75">
      <c r="A60" s="56"/>
      <c r="B60" s="76"/>
      <c r="C60" s="58"/>
      <c r="D60" s="48"/>
      <c r="E60" s="74"/>
      <c r="F60" s="76"/>
      <c r="G60" s="70"/>
      <c r="H60" s="48"/>
    </row>
    <row r="61" spans="1:114" s="51" customFormat="1" ht="15.75">
      <c r="A61" s="47"/>
      <c r="B61" s="78" t="s">
        <v>35</v>
      </c>
      <c r="C61" s="79">
        <f>SUM(C36:C60)</f>
        <v>0</v>
      </c>
      <c r="D61" s="48"/>
      <c r="E61" s="92"/>
      <c r="F61" s="78" t="s">
        <v>35</v>
      </c>
      <c r="G61" s="79">
        <f>SUM(G36:G60)</f>
        <v>0</v>
      </c>
      <c r="H61" s="48"/>
    </row>
    <row r="62" spans="1:114" s="48" customFormat="1" ht="15.75">
      <c r="A62" s="47"/>
      <c r="C62" s="47"/>
      <c r="E62" s="93"/>
      <c r="F62" s="94"/>
      <c r="G62" s="95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</row>
    <row r="63" spans="1:114" s="51" customFormat="1" ht="15.75">
      <c r="A63" s="47"/>
      <c r="B63" s="107" t="s">
        <v>80</v>
      </c>
      <c r="C63" s="47"/>
      <c r="D63" s="48"/>
      <c r="E63" s="53"/>
      <c r="F63" s="107" t="s">
        <v>80</v>
      </c>
      <c r="G63" s="54"/>
      <c r="H63" s="48"/>
    </row>
    <row r="64" spans="1:114" s="51" customFormat="1" ht="15.75">
      <c r="A64" s="55"/>
      <c r="B64" s="107" t="s">
        <v>38</v>
      </c>
      <c r="C64" s="47"/>
      <c r="D64" s="48"/>
      <c r="E64" s="53"/>
      <c r="F64" s="107" t="s">
        <v>39</v>
      </c>
      <c r="G64" s="54"/>
      <c r="H64" s="48"/>
    </row>
    <row r="65" spans="1:8" s="51" customFormat="1" ht="15.75">
      <c r="A65" s="107" t="s">
        <v>32</v>
      </c>
      <c r="B65" s="107" t="s">
        <v>33</v>
      </c>
      <c r="C65" s="108" t="s">
        <v>34</v>
      </c>
      <c r="D65" s="48"/>
      <c r="E65" s="107" t="s">
        <v>32</v>
      </c>
      <c r="F65" s="107" t="s">
        <v>33</v>
      </c>
      <c r="G65" s="109" t="s">
        <v>34</v>
      </c>
      <c r="H65" s="48"/>
    </row>
    <row r="66" spans="1:8" s="51" customFormat="1" ht="15.75">
      <c r="A66" s="114">
        <v>45813</v>
      </c>
      <c r="B66" s="65" t="s">
        <v>65</v>
      </c>
      <c r="C66" s="115">
        <v>60000</v>
      </c>
      <c r="D66" s="48"/>
      <c r="E66" s="89"/>
      <c r="F66" s="85"/>
      <c r="G66" s="70"/>
      <c r="H66" s="48"/>
    </row>
    <row r="67" spans="1:8" s="51" customFormat="1" ht="15.75">
      <c r="A67" s="114">
        <v>45814</v>
      </c>
      <c r="B67" s="65" t="s">
        <v>67</v>
      </c>
      <c r="C67" s="116">
        <v>70000</v>
      </c>
      <c r="D67" s="48"/>
      <c r="E67" s="89"/>
      <c r="F67" s="85"/>
      <c r="G67" s="70"/>
      <c r="H67" s="48"/>
    </row>
    <row r="68" spans="1:8" s="51" customFormat="1" ht="15.75">
      <c r="A68" s="114">
        <v>45814</v>
      </c>
      <c r="B68" s="65" t="s">
        <v>69</v>
      </c>
      <c r="C68" s="116">
        <v>70000</v>
      </c>
      <c r="D68" s="48"/>
      <c r="E68" s="89"/>
      <c r="F68" s="85"/>
      <c r="G68" s="70"/>
      <c r="H68" s="48"/>
    </row>
    <row r="69" spans="1:8" s="51" customFormat="1" ht="15.75">
      <c r="A69" s="114">
        <v>45817</v>
      </c>
      <c r="B69" s="67" t="s">
        <v>74</v>
      </c>
      <c r="C69" s="117">
        <v>190000</v>
      </c>
      <c r="D69" s="48"/>
      <c r="E69" s="74"/>
      <c r="F69" s="76"/>
      <c r="G69" s="70"/>
      <c r="H69" s="48"/>
    </row>
    <row r="70" spans="1:8" s="51" customFormat="1" ht="15.75">
      <c r="A70" s="114">
        <v>45817</v>
      </c>
      <c r="B70" s="67" t="s">
        <v>76</v>
      </c>
      <c r="C70" s="116">
        <v>70000</v>
      </c>
      <c r="D70" s="48"/>
      <c r="E70" s="74"/>
      <c r="F70" s="76"/>
      <c r="G70" s="70"/>
      <c r="H70" s="48"/>
    </row>
    <row r="71" spans="1:8" s="51" customFormat="1" ht="15.75">
      <c r="A71" s="118">
        <v>45820</v>
      </c>
      <c r="B71" s="86" t="s">
        <v>78</v>
      </c>
      <c r="C71" s="115">
        <v>80000</v>
      </c>
      <c r="D71" s="48"/>
      <c r="E71" s="74"/>
      <c r="F71" s="76"/>
      <c r="G71" s="70"/>
      <c r="H71" s="48"/>
    </row>
    <row r="72" spans="1:8" s="51" customFormat="1" ht="15.75">
      <c r="A72" s="114">
        <v>45821</v>
      </c>
      <c r="B72" s="67" t="s">
        <v>90</v>
      </c>
      <c r="C72" s="113">
        <v>80000</v>
      </c>
      <c r="D72" s="48"/>
      <c r="E72" s="74"/>
      <c r="F72" s="76"/>
      <c r="G72" s="70"/>
      <c r="H72" s="48"/>
    </row>
    <row r="73" spans="1:8" s="51" customFormat="1" ht="15.75">
      <c r="A73" s="114">
        <v>45821</v>
      </c>
      <c r="B73" s="67" t="s">
        <v>91</v>
      </c>
      <c r="C73" s="113">
        <v>51000</v>
      </c>
      <c r="D73" s="48"/>
      <c r="E73" s="74"/>
      <c r="F73" s="76"/>
      <c r="G73" s="70"/>
      <c r="H73" s="48"/>
    </row>
    <row r="74" spans="1:8" s="51" customFormat="1" ht="15.75">
      <c r="A74" s="114">
        <v>45821</v>
      </c>
      <c r="B74" s="85" t="s">
        <v>94</v>
      </c>
      <c r="C74" s="113">
        <v>51000</v>
      </c>
      <c r="D74" s="48"/>
      <c r="E74" s="74"/>
      <c r="F74" s="76"/>
      <c r="G74" s="70"/>
      <c r="H74" s="48"/>
    </row>
    <row r="75" spans="1:8" s="51" customFormat="1" ht="15.75">
      <c r="A75" s="83">
        <v>45824</v>
      </c>
      <c r="B75" s="76" t="s">
        <v>101</v>
      </c>
      <c r="C75" s="87">
        <v>100000</v>
      </c>
      <c r="D75" s="48"/>
      <c r="E75" s="74"/>
      <c r="F75" s="76"/>
      <c r="G75" s="70"/>
      <c r="H75" s="48"/>
    </row>
    <row r="76" spans="1:8" s="51" customFormat="1" ht="15.75">
      <c r="A76" s="56">
        <v>45825</v>
      </c>
      <c r="B76" s="76" t="s">
        <v>102</v>
      </c>
      <c r="C76" s="87">
        <v>110000</v>
      </c>
      <c r="D76" s="48"/>
      <c r="E76" s="74"/>
      <c r="F76" s="76"/>
      <c r="G76" s="70"/>
      <c r="H76" s="48"/>
    </row>
    <row r="77" spans="1:8" s="51" customFormat="1" ht="15.75">
      <c r="A77" s="56">
        <v>45825</v>
      </c>
      <c r="B77" s="67" t="s">
        <v>106</v>
      </c>
      <c r="C77" s="58">
        <v>70000</v>
      </c>
      <c r="D77" s="48"/>
      <c r="E77" s="74"/>
      <c r="F77" s="76"/>
      <c r="G77" s="70"/>
      <c r="H77" s="48"/>
    </row>
    <row r="78" spans="1:8" s="51" customFormat="1" ht="15.75">
      <c r="A78" s="56">
        <v>45831</v>
      </c>
      <c r="B78" s="76" t="s">
        <v>110</v>
      </c>
      <c r="C78" s="58">
        <v>70000</v>
      </c>
      <c r="D78" s="48"/>
      <c r="E78" s="74"/>
      <c r="F78" s="76"/>
      <c r="G78" s="70"/>
      <c r="H78" s="48"/>
    </row>
    <row r="79" spans="1:8" s="51" customFormat="1" ht="15.75">
      <c r="A79" s="56">
        <v>45831</v>
      </c>
      <c r="B79" s="76" t="s">
        <v>112</v>
      </c>
      <c r="C79" s="58">
        <v>70000</v>
      </c>
      <c r="D79" s="48"/>
      <c r="E79" s="74"/>
      <c r="F79" s="76"/>
      <c r="G79" s="70"/>
      <c r="H79" s="48"/>
    </row>
    <row r="80" spans="1:8" s="51" customFormat="1" ht="15.75">
      <c r="A80" s="56">
        <v>45831</v>
      </c>
      <c r="B80" s="76" t="s">
        <v>117</v>
      </c>
      <c r="C80" s="58">
        <v>70000</v>
      </c>
      <c r="D80" s="48"/>
      <c r="E80" s="74"/>
      <c r="F80" s="76"/>
      <c r="G80" s="70"/>
      <c r="H80" s="48"/>
    </row>
    <row r="81" spans="1:8" s="51" customFormat="1" ht="15.75">
      <c r="A81" s="56">
        <v>45832</v>
      </c>
      <c r="B81" s="96" t="s">
        <v>122</v>
      </c>
      <c r="C81" s="58">
        <v>80000</v>
      </c>
      <c r="D81" s="48"/>
      <c r="E81" s="74"/>
      <c r="F81" s="67"/>
      <c r="G81" s="84"/>
      <c r="H81" s="48"/>
    </row>
    <row r="82" spans="1:8" s="51" customFormat="1" ht="15.75">
      <c r="A82" s="56">
        <v>45833</v>
      </c>
      <c r="B82" s="76" t="s">
        <v>125</v>
      </c>
      <c r="C82" s="58">
        <v>60000</v>
      </c>
      <c r="D82" s="48"/>
      <c r="E82" s="74"/>
      <c r="F82" s="76"/>
      <c r="G82" s="70"/>
      <c r="H82" s="48"/>
    </row>
    <row r="83" spans="1:8" s="51" customFormat="1" ht="15.75">
      <c r="A83" s="56">
        <v>45835</v>
      </c>
      <c r="B83" s="76" t="s">
        <v>130</v>
      </c>
      <c r="C83" s="58">
        <v>51000</v>
      </c>
      <c r="D83" s="48"/>
      <c r="E83" s="74"/>
      <c r="F83" s="76"/>
      <c r="G83" s="70"/>
      <c r="H83" s="48"/>
    </row>
    <row r="84" spans="1:8" s="51" customFormat="1" ht="15.75">
      <c r="A84" s="56">
        <v>45838</v>
      </c>
      <c r="B84" s="76" t="s">
        <v>136</v>
      </c>
      <c r="C84" s="58">
        <v>80000</v>
      </c>
      <c r="D84" s="48"/>
      <c r="E84" s="74"/>
      <c r="F84" s="76"/>
      <c r="G84" s="70"/>
      <c r="H84" s="48"/>
    </row>
    <row r="85" spans="1:8" s="51" customFormat="1" ht="15.75">
      <c r="A85" s="56">
        <v>45838</v>
      </c>
      <c r="B85" s="76" t="s">
        <v>138</v>
      </c>
      <c r="C85" s="58">
        <v>70000</v>
      </c>
      <c r="D85" s="48"/>
      <c r="E85" s="74"/>
      <c r="F85" s="76"/>
      <c r="G85" s="70"/>
      <c r="H85" s="48"/>
    </row>
    <row r="86" spans="1:8" s="51" customFormat="1" ht="15.75">
      <c r="A86" s="56">
        <v>45838</v>
      </c>
      <c r="B86" s="76" t="s">
        <v>137</v>
      </c>
      <c r="C86" s="58">
        <v>110000</v>
      </c>
      <c r="D86" s="48"/>
      <c r="E86" s="74"/>
      <c r="F86" s="76"/>
      <c r="G86" s="97"/>
      <c r="H86" s="48"/>
    </row>
    <row r="87" spans="1:8" s="51" customFormat="1" ht="15.75">
      <c r="A87" s="56">
        <v>45838</v>
      </c>
      <c r="B87" s="76" t="s">
        <v>143</v>
      </c>
      <c r="C87" s="58">
        <v>51000</v>
      </c>
      <c r="D87" s="48"/>
      <c r="E87" s="74"/>
      <c r="F87" s="76"/>
      <c r="G87" s="70"/>
      <c r="H87" s="48"/>
    </row>
    <row r="88" spans="1:8" s="51" customFormat="1" ht="15.75">
      <c r="A88" s="56"/>
      <c r="B88" s="76"/>
      <c r="C88" s="58"/>
      <c r="D88" s="48"/>
      <c r="E88" s="89"/>
      <c r="F88" s="76"/>
      <c r="G88" s="90"/>
      <c r="H88" s="48"/>
    </row>
    <row r="89" spans="1:8" s="51" customFormat="1" ht="15.75">
      <c r="A89" s="56"/>
      <c r="B89" s="76"/>
      <c r="C89" s="58"/>
      <c r="D89" s="48"/>
      <c r="E89" s="74"/>
      <c r="F89" s="76"/>
      <c r="G89" s="90"/>
      <c r="H89" s="48"/>
    </row>
    <row r="90" spans="1:8" s="51" customFormat="1" ht="15.75">
      <c r="A90" s="56"/>
      <c r="B90" s="76"/>
      <c r="C90" s="58"/>
      <c r="D90" s="48"/>
      <c r="E90" s="74"/>
      <c r="F90" s="67"/>
      <c r="G90" s="70"/>
      <c r="H90" s="48"/>
    </row>
    <row r="91" spans="1:8" s="51" customFormat="1" ht="15.75">
      <c r="A91" s="56"/>
      <c r="B91" s="76"/>
      <c r="C91" s="58"/>
      <c r="D91" s="48"/>
      <c r="E91" s="74"/>
      <c r="F91" s="76"/>
      <c r="G91" s="70"/>
      <c r="H91" s="48"/>
    </row>
    <row r="92" spans="1:8" s="51" customFormat="1" ht="15.75">
      <c r="A92" s="56"/>
      <c r="B92" s="76"/>
      <c r="C92" s="58"/>
      <c r="D92" s="48"/>
      <c r="E92" s="74"/>
      <c r="F92" s="76"/>
      <c r="G92" s="70"/>
      <c r="H92" s="48"/>
    </row>
    <row r="93" spans="1:8" s="51" customFormat="1" ht="15.75">
      <c r="A93" s="56"/>
      <c r="B93" s="76"/>
      <c r="C93" s="58"/>
      <c r="D93" s="48"/>
      <c r="E93" s="74"/>
      <c r="F93" s="76"/>
      <c r="G93" s="70"/>
      <c r="H93" s="48"/>
    </row>
    <row r="94" spans="1:8" s="51" customFormat="1" ht="15.75">
      <c r="A94" s="47"/>
      <c r="B94" s="78" t="s">
        <v>35</v>
      </c>
      <c r="C94" s="79">
        <f>SUM(C66:C93)</f>
        <v>1714000</v>
      </c>
      <c r="D94" s="48"/>
      <c r="E94" s="92"/>
      <c r="F94" s="78" t="s">
        <v>35</v>
      </c>
      <c r="G94" s="79">
        <f>SUM(G66:G93)</f>
        <v>0</v>
      </c>
      <c r="H94" s="48"/>
    </row>
    <row r="95" spans="1:8" s="51" customFormat="1" ht="15.75">
      <c r="A95" s="47"/>
      <c r="B95" s="48"/>
      <c r="C95" s="47"/>
      <c r="D95" s="48"/>
      <c r="E95" s="49"/>
      <c r="F95" s="49"/>
      <c r="G95" s="50"/>
      <c r="H95" s="48"/>
    </row>
    <row r="96" spans="1:8" s="51" customFormat="1" ht="15.75">
      <c r="A96" s="47"/>
      <c r="B96" s="107" t="s">
        <v>80</v>
      </c>
      <c r="C96" s="47"/>
      <c r="D96" s="48"/>
      <c r="E96" s="53"/>
      <c r="F96" s="107" t="s">
        <v>80</v>
      </c>
      <c r="G96" s="54"/>
      <c r="H96" s="48"/>
    </row>
    <row r="97" spans="1:8" s="51" customFormat="1" ht="15.75">
      <c r="A97" s="55"/>
      <c r="B97" s="107" t="s">
        <v>40</v>
      </c>
      <c r="C97" s="47"/>
      <c r="D97" s="48"/>
      <c r="E97" s="53"/>
      <c r="F97" s="107" t="s">
        <v>41</v>
      </c>
      <c r="G97" s="54"/>
      <c r="H97" s="48"/>
    </row>
    <row r="98" spans="1:8" s="51" customFormat="1" ht="15.75">
      <c r="A98" s="107" t="s">
        <v>32</v>
      </c>
      <c r="B98" s="107" t="s">
        <v>33</v>
      </c>
      <c r="C98" s="108" t="s">
        <v>34</v>
      </c>
      <c r="D98" s="48"/>
      <c r="E98" s="107" t="s">
        <v>32</v>
      </c>
      <c r="F98" s="107" t="s">
        <v>33</v>
      </c>
      <c r="G98" s="109" t="s">
        <v>34</v>
      </c>
      <c r="H98" s="48"/>
    </row>
    <row r="99" spans="1:8" s="51" customFormat="1" ht="15.75">
      <c r="A99" s="83">
        <v>45847</v>
      </c>
      <c r="B99" s="67" t="s">
        <v>149</v>
      </c>
      <c r="C99" s="123">
        <v>110000</v>
      </c>
      <c r="D99" s="48"/>
      <c r="E99" s="74"/>
      <c r="F99" s="76"/>
      <c r="G99" s="123"/>
      <c r="H99" s="48"/>
    </row>
    <row r="100" spans="1:8" s="51" customFormat="1" ht="15.75">
      <c r="A100" s="56">
        <v>45848</v>
      </c>
      <c r="B100" s="67" t="s">
        <v>155</v>
      </c>
      <c r="C100" s="123">
        <v>80000</v>
      </c>
      <c r="D100" s="48"/>
      <c r="E100" s="89"/>
      <c r="F100" s="67"/>
      <c r="G100" s="123"/>
      <c r="H100" s="48"/>
    </row>
    <row r="101" spans="1:8" s="51" customFormat="1" ht="15.75">
      <c r="A101" s="56">
        <v>45848</v>
      </c>
      <c r="B101" s="67" t="s">
        <v>158</v>
      </c>
      <c r="C101" s="132">
        <v>60000</v>
      </c>
      <c r="D101" s="48"/>
      <c r="E101" s="74"/>
      <c r="F101" s="65"/>
      <c r="G101" s="132"/>
      <c r="H101" s="48"/>
    </row>
    <row r="102" spans="1:8" s="51" customFormat="1" ht="15.75">
      <c r="A102" s="56">
        <v>45849</v>
      </c>
      <c r="B102" s="67" t="s">
        <v>161</v>
      </c>
      <c r="C102" s="123">
        <v>110000</v>
      </c>
      <c r="D102" s="48"/>
      <c r="E102" s="89"/>
      <c r="F102" s="67"/>
      <c r="G102" s="123"/>
      <c r="H102" s="48"/>
    </row>
    <row r="103" spans="1:8" s="51" customFormat="1" ht="15.75">
      <c r="A103" s="56">
        <v>45849</v>
      </c>
      <c r="B103" s="67" t="s">
        <v>162</v>
      </c>
      <c r="C103" s="132">
        <v>70000</v>
      </c>
      <c r="D103" s="48"/>
      <c r="E103" s="74"/>
      <c r="F103" s="76"/>
      <c r="G103" s="132"/>
      <c r="H103" s="48"/>
    </row>
    <row r="104" spans="1:8" s="51" customFormat="1" ht="15.75">
      <c r="A104" s="56">
        <v>45852</v>
      </c>
      <c r="B104" s="67" t="s">
        <v>163</v>
      </c>
      <c r="C104" s="132">
        <v>70000</v>
      </c>
      <c r="D104" s="48"/>
      <c r="E104" s="74"/>
      <c r="F104" s="76"/>
      <c r="G104" s="132"/>
      <c r="H104" s="48"/>
    </row>
    <row r="105" spans="1:8" s="51" customFormat="1" ht="15.75">
      <c r="A105" s="56">
        <v>45852</v>
      </c>
      <c r="B105" s="76" t="s">
        <v>167</v>
      </c>
      <c r="C105" s="58">
        <v>140000</v>
      </c>
      <c r="D105" s="48"/>
      <c r="E105" s="74"/>
      <c r="F105" s="76"/>
      <c r="G105" s="58"/>
      <c r="H105" s="48"/>
    </row>
    <row r="106" spans="1:8" s="51" customFormat="1" ht="15.75">
      <c r="A106" s="56">
        <v>45853</v>
      </c>
      <c r="B106" s="67" t="s">
        <v>181</v>
      </c>
      <c r="C106" s="58">
        <v>150000</v>
      </c>
      <c r="D106" s="48"/>
      <c r="E106" s="74"/>
      <c r="F106" s="67"/>
      <c r="G106" s="58"/>
      <c r="H106" s="48"/>
    </row>
    <row r="107" spans="1:8" s="51" customFormat="1" ht="15.75">
      <c r="A107" s="56">
        <v>45853</v>
      </c>
      <c r="B107" s="76" t="s">
        <v>183</v>
      </c>
      <c r="C107" s="132">
        <v>70000</v>
      </c>
      <c r="D107" s="48"/>
      <c r="E107" s="74"/>
      <c r="F107" s="76"/>
      <c r="G107" s="132"/>
      <c r="H107" s="48"/>
    </row>
    <row r="108" spans="1:8" s="51" customFormat="1" ht="15.75">
      <c r="A108" s="56">
        <v>45859</v>
      </c>
      <c r="B108" s="59" t="s">
        <v>189</v>
      </c>
      <c r="C108" s="132">
        <v>200000</v>
      </c>
      <c r="D108" s="48"/>
      <c r="E108" s="74"/>
      <c r="F108" s="59"/>
      <c r="G108" s="132"/>
      <c r="H108" s="48"/>
    </row>
    <row r="109" spans="1:8" s="51" customFormat="1" ht="15.75">
      <c r="A109" s="56">
        <v>45860</v>
      </c>
      <c r="B109" s="59" t="s">
        <v>191</v>
      </c>
      <c r="C109" s="132">
        <v>70000</v>
      </c>
      <c r="D109" s="48"/>
      <c r="E109" s="74"/>
      <c r="F109" s="76"/>
      <c r="G109" s="132"/>
      <c r="H109" s="48"/>
    </row>
    <row r="110" spans="1:8" s="51" customFormat="1" ht="15.75">
      <c r="A110" s="148">
        <v>45862</v>
      </c>
      <c r="B110" s="149" t="s">
        <v>196</v>
      </c>
      <c r="C110" s="132">
        <v>70000</v>
      </c>
      <c r="D110" s="48"/>
      <c r="E110" s="74"/>
      <c r="F110" s="76"/>
      <c r="G110" s="132"/>
      <c r="H110" s="48"/>
    </row>
    <row r="111" spans="1:8" s="51" customFormat="1" ht="15.75">
      <c r="A111" s="148">
        <v>45863</v>
      </c>
      <c r="B111" s="149" t="s">
        <v>199</v>
      </c>
      <c r="C111" s="123">
        <v>110000</v>
      </c>
      <c r="D111" s="48"/>
      <c r="E111" s="74"/>
      <c r="F111" s="76"/>
      <c r="G111" s="123"/>
      <c r="H111" s="48"/>
    </row>
    <row r="112" spans="1:8" s="51" customFormat="1" ht="15.75">
      <c r="A112" s="148">
        <v>45863</v>
      </c>
      <c r="B112" s="149" t="s">
        <v>201</v>
      </c>
      <c r="C112" s="147">
        <v>51000</v>
      </c>
      <c r="D112" s="48"/>
      <c r="E112" s="74"/>
      <c r="F112" s="76"/>
      <c r="G112" s="147"/>
      <c r="H112" s="48"/>
    </row>
    <row r="113" spans="1:8" s="51" customFormat="1" ht="15.75">
      <c r="A113" s="148">
        <v>45864</v>
      </c>
      <c r="B113" s="149" t="s">
        <v>206</v>
      </c>
      <c r="C113" s="147">
        <v>120000</v>
      </c>
      <c r="D113" s="48"/>
      <c r="E113" s="74"/>
      <c r="F113" s="76"/>
      <c r="G113" s="147"/>
      <c r="H113" s="48"/>
    </row>
    <row r="114" spans="1:8" s="51" customFormat="1" ht="15.75">
      <c r="A114" s="148">
        <v>45864</v>
      </c>
      <c r="B114" s="149" t="s">
        <v>207</v>
      </c>
      <c r="C114" s="147">
        <v>90000</v>
      </c>
      <c r="D114" s="48"/>
      <c r="E114" s="74"/>
      <c r="F114" s="76"/>
      <c r="G114" s="147"/>
      <c r="H114" s="48"/>
    </row>
    <row r="115" spans="1:8" s="51" customFormat="1" ht="15.75">
      <c r="A115" s="148">
        <v>45864</v>
      </c>
      <c r="B115" s="76" t="s">
        <v>208</v>
      </c>
      <c r="C115" s="147">
        <v>200000</v>
      </c>
      <c r="D115" s="48"/>
      <c r="E115" s="74"/>
      <c r="F115" s="76"/>
      <c r="G115" s="147"/>
      <c r="H115" s="48"/>
    </row>
    <row r="116" spans="1:8" s="51" customFormat="1" ht="15.75">
      <c r="A116" s="148">
        <v>45864</v>
      </c>
      <c r="B116" s="76" t="s">
        <v>209</v>
      </c>
      <c r="C116" s="147">
        <v>70000</v>
      </c>
      <c r="D116" s="48"/>
      <c r="E116" s="74"/>
      <c r="F116" s="76"/>
      <c r="G116" s="147"/>
      <c r="H116" s="48"/>
    </row>
    <row r="117" spans="1:8" s="51" customFormat="1" ht="15.75">
      <c r="A117" s="148">
        <v>45866</v>
      </c>
      <c r="B117" s="76" t="s">
        <v>210</v>
      </c>
      <c r="C117" s="147">
        <v>220000</v>
      </c>
      <c r="D117" s="48"/>
      <c r="E117" s="74"/>
      <c r="F117" s="76"/>
      <c r="G117" s="147"/>
      <c r="H117" s="48"/>
    </row>
    <row r="118" spans="1:8" s="51" customFormat="1" ht="15.75">
      <c r="A118" s="148">
        <v>45866</v>
      </c>
      <c r="B118" s="76" t="s">
        <v>224</v>
      </c>
      <c r="C118" s="147">
        <v>120000</v>
      </c>
      <c r="D118" s="48"/>
      <c r="E118" s="74"/>
      <c r="F118" s="76"/>
      <c r="G118" s="147"/>
      <c r="H118" s="48"/>
    </row>
    <row r="119" spans="1:8" s="51" customFormat="1" ht="15.75">
      <c r="A119" s="148">
        <v>45866</v>
      </c>
      <c r="B119" s="76" t="s">
        <v>228</v>
      </c>
      <c r="C119" s="147">
        <v>70000</v>
      </c>
      <c r="D119" s="48"/>
      <c r="E119" s="74"/>
      <c r="F119" s="76"/>
      <c r="G119" s="147"/>
      <c r="H119" s="48"/>
    </row>
    <row r="120" spans="1:8" s="51" customFormat="1" ht="15.75">
      <c r="A120" s="148">
        <v>45776</v>
      </c>
      <c r="B120" s="76" t="s">
        <v>232</v>
      </c>
      <c r="C120" s="147">
        <v>170000</v>
      </c>
      <c r="D120" s="48"/>
      <c r="E120" s="74"/>
      <c r="F120" s="76"/>
      <c r="G120" s="147"/>
      <c r="H120" s="48"/>
    </row>
    <row r="121" spans="1:8" s="51" customFormat="1" ht="15.75">
      <c r="A121" s="148">
        <v>45776</v>
      </c>
      <c r="B121" s="76" t="s">
        <v>233</v>
      </c>
      <c r="C121" s="147">
        <v>51000</v>
      </c>
      <c r="D121" s="48"/>
      <c r="E121" s="74"/>
      <c r="F121" s="76"/>
      <c r="G121" s="147"/>
      <c r="H121" s="48"/>
    </row>
    <row r="122" spans="1:8" s="51" customFormat="1" ht="15.75">
      <c r="A122" s="148">
        <v>45869</v>
      </c>
      <c r="B122" s="76" t="s">
        <v>234</v>
      </c>
      <c r="C122" s="147">
        <v>70000</v>
      </c>
      <c r="D122" s="48"/>
      <c r="E122" s="74"/>
      <c r="F122" s="76"/>
      <c r="G122" s="147"/>
      <c r="H122" s="48"/>
    </row>
    <row r="123" spans="1:8" s="51" customFormat="1" ht="15.75">
      <c r="A123" s="148">
        <v>45868</v>
      </c>
      <c r="B123" s="76" t="s">
        <v>242</v>
      </c>
      <c r="C123" s="147">
        <v>70000</v>
      </c>
      <c r="D123" s="48"/>
      <c r="E123" s="74"/>
      <c r="F123" s="76"/>
      <c r="G123" s="70"/>
      <c r="H123" s="48"/>
    </row>
    <row r="124" spans="1:8" s="51" customFormat="1" ht="15.75">
      <c r="A124" s="148">
        <v>45869</v>
      </c>
      <c r="B124" s="156" t="s">
        <v>245</v>
      </c>
      <c r="C124" s="147">
        <v>100000</v>
      </c>
      <c r="D124" s="48"/>
      <c r="E124" s="74"/>
      <c r="F124" s="76"/>
      <c r="G124" s="70"/>
      <c r="H124" s="48"/>
    </row>
    <row r="125" spans="1:8" s="51" customFormat="1" ht="15.75">
      <c r="A125" s="148">
        <v>45869</v>
      </c>
      <c r="B125" s="156" t="s">
        <v>246</v>
      </c>
      <c r="C125" s="147">
        <v>120000</v>
      </c>
      <c r="D125" s="48"/>
      <c r="E125" s="74"/>
      <c r="F125" s="76"/>
      <c r="G125" s="70"/>
      <c r="H125" s="48"/>
    </row>
    <row r="126" spans="1:8" s="51" customFormat="1" ht="15.75">
      <c r="A126" s="56"/>
      <c r="B126" s="156"/>
      <c r="C126" s="147"/>
      <c r="D126" s="48"/>
      <c r="E126" s="74"/>
      <c r="F126" s="76"/>
      <c r="G126" s="70"/>
      <c r="H126" s="48"/>
    </row>
    <row r="127" spans="1:8" s="51" customFormat="1" ht="15.75">
      <c r="A127" s="257"/>
      <c r="B127" s="150" t="s">
        <v>35</v>
      </c>
      <c r="C127" s="79">
        <f>SUM(C99:C125)</f>
        <v>2832000</v>
      </c>
      <c r="D127" s="48"/>
      <c r="E127" s="80"/>
      <c r="F127" s="78" t="s">
        <v>35</v>
      </c>
      <c r="G127" s="79"/>
      <c r="H127" s="48"/>
    </row>
    <row r="128" spans="1:8" s="51" customFormat="1" ht="15.75">
      <c r="A128" s="47"/>
      <c r="B128" s="48"/>
      <c r="C128" s="47"/>
      <c r="D128" s="48"/>
      <c r="E128" s="80"/>
      <c r="F128" s="81"/>
      <c r="G128" s="82"/>
      <c r="H128" s="48"/>
    </row>
    <row r="129" spans="1:8" s="51" customFormat="1" ht="15.75">
      <c r="A129" s="47"/>
      <c r="B129" s="107" t="s">
        <v>80</v>
      </c>
      <c r="C129" s="47"/>
      <c r="D129" s="48"/>
      <c r="E129" s="53"/>
      <c r="F129" s="107" t="s">
        <v>80</v>
      </c>
      <c r="G129" s="54"/>
      <c r="H129" s="48"/>
    </row>
    <row r="130" spans="1:8" s="51" customFormat="1" ht="15.75">
      <c r="A130" s="55"/>
      <c r="B130" s="107" t="s">
        <v>42</v>
      </c>
      <c r="C130" s="47"/>
      <c r="D130" s="48"/>
      <c r="E130" s="53"/>
      <c r="F130" s="107" t="s">
        <v>43</v>
      </c>
      <c r="G130" s="54"/>
      <c r="H130" s="48"/>
    </row>
    <row r="131" spans="1:8" s="51" customFormat="1" ht="15.75">
      <c r="A131" s="107" t="s">
        <v>32</v>
      </c>
      <c r="B131" s="107" t="s">
        <v>33</v>
      </c>
      <c r="C131" s="108" t="s">
        <v>34</v>
      </c>
      <c r="D131" s="48"/>
      <c r="E131" s="107" t="s">
        <v>32</v>
      </c>
      <c r="F131" s="107" t="s">
        <v>33</v>
      </c>
      <c r="G131" s="109" t="s">
        <v>34</v>
      </c>
      <c r="H131" s="48"/>
    </row>
    <row r="132" spans="1:8" s="51" customFormat="1" ht="15.75">
      <c r="A132" s="170">
        <v>45870</v>
      </c>
      <c r="B132" s="66" t="s">
        <v>253</v>
      </c>
      <c r="C132" s="171">
        <v>70000</v>
      </c>
      <c r="D132" s="48"/>
      <c r="E132" s="74"/>
      <c r="F132" s="76"/>
      <c r="G132" s="70"/>
      <c r="H132" s="48"/>
    </row>
    <row r="133" spans="1:8" s="51" customFormat="1" ht="15.75">
      <c r="A133" s="170">
        <v>45871</v>
      </c>
      <c r="B133" s="44" t="s">
        <v>255</v>
      </c>
      <c r="C133" s="172">
        <v>190000</v>
      </c>
      <c r="D133" s="48"/>
      <c r="E133" s="74"/>
      <c r="F133" s="76"/>
      <c r="G133" s="70"/>
      <c r="H133" s="48"/>
    </row>
    <row r="134" spans="1:8" s="51" customFormat="1" ht="15.75">
      <c r="A134" s="170">
        <v>45871</v>
      </c>
      <c r="B134" s="44" t="s">
        <v>258</v>
      </c>
      <c r="C134" s="172">
        <v>70000</v>
      </c>
      <c r="D134" s="48"/>
      <c r="E134" s="74"/>
      <c r="F134" s="76"/>
      <c r="G134" s="70"/>
      <c r="H134" s="48"/>
    </row>
    <row r="135" spans="1:8" s="51" customFormat="1" ht="15.75">
      <c r="A135" s="170">
        <v>45874</v>
      </c>
      <c r="B135" s="44" t="s">
        <v>203</v>
      </c>
      <c r="C135" s="173">
        <v>25000</v>
      </c>
      <c r="D135" s="48"/>
      <c r="E135" s="74"/>
      <c r="F135" s="76"/>
      <c r="G135" s="70"/>
      <c r="H135" s="48"/>
    </row>
    <row r="136" spans="1:8" s="51" customFormat="1" ht="15.75">
      <c r="A136" s="170">
        <v>45875</v>
      </c>
      <c r="B136" s="44" t="s">
        <v>273</v>
      </c>
      <c r="C136" s="174">
        <v>90000</v>
      </c>
      <c r="D136" s="48"/>
      <c r="E136" s="74"/>
      <c r="F136" s="85"/>
      <c r="G136" s="84"/>
      <c r="H136" s="48"/>
    </row>
    <row r="137" spans="1:8" s="51" customFormat="1" ht="15.75">
      <c r="A137" s="170">
        <v>45876</v>
      </c>
      <c r="B137" s="63" t="s">
        <v>274</v>
      </c>
      <c r="C137" s="174">
        <v>120000</v>
      </c>
      <c r="D137" s="48"/>
      <c r="E137" s="89"/>
      <c r="F137" s="67"/>
      <c r="G137" s="98"/>
      <c r="H137" s="48"/>
    </row>
    <row r="138" spans="1:8" s="51" customFormat="1" ht="15.75">
      <c r="A138" s="170">
        <v>45880</v>
      </c>
      <c r="B138" s="159" t="s">
        <v>279</v>
      </c>
      <c r="C138" s="174">
        <v>200000</v>
      </c>
      <c r="D138" s="48"/>
      <c r="E138" s="89"/>
      <c r="F138" s="44"/>
      <c r="G138" s="84"/>
      <c r="H138" s="48"/>
    </row>
    <row r="139" spans="1:8" s="51" customFormat="1" ht="15.75">
      <c r="A139" s="170">
        <v>45882</v>
      </c>
      <c r="B139" s="40" t="s">
        <v>283</v>
      </c>
      <c r="C139" s="174">
        <v>160000</v>
      </c>
      <c r="D139" s="48"/>
      <c r="E139" s="89"/>
      <c r="F139" s="44"/>
      <c r="G139" s="70"/>
      <c r="H139" s="48"/>
    </row>
    <row r="140" spans="1:8" s="51" customFormat="1" ht="15.75">
      <c r="A140" s="170">
        <v>45882</v>
      </c>
      <c r="B140" s="66" t="s">
        <v>284</v>
      </c>
      <c r="C140" s="174">
        <v>170000</v>
      </c>
      <c r="D140" s="48"/>
      <c r="E140" s="89"/>
      <c r="F140" s="71"/>
      <c r="G140" s="70"/>
      <c r="H140" s="48"/>
    </row>
    <row r="141" spans="1:8" s="51" customFormat="1" ht="15.75">
      <c r="A141" s="170">
        <v>45882</v>
      </c>
      <c r="B141" s="66" t="s">
        <v>284</v>
      </c>
      <c r="C141" s="174">
        <v>220000</v>
      </c>
      <c r="D141" s="48"/>
      <c r="E141" s="72"/>
      <c r="F141" s="76"/>
      <c r="G141" s="70"/>
      <c r="H141" s="48"/>
    </row>
    <row r="142" spans="1:8" s="51" customFormat="1" ht="15.75">
      <c r="A142" s="170">
        <v>45884</v>
      </c>
      <c r="B142" s="159" t="s">
        <v>291</v>
      </c>
      <c r="C142" s="174">
        <v>90000</v>
      </c>
      <c r="D142" s="48"/>
      <c r="E142" s="74"/>
      <c r="F142" s="76"/>
      <c r="G142" s="70"/>
      <c r="H142" s="48"/>
    </row>
    <row r="143" spans="1:8" s="51" customFormat="1" ht="15.75">
      <c r="A143" s="170">
        <v>45884</v>
      </c>
      <c r="B143" s="159" t="s">
        <v>292</v>
      </c>
      <c r="C143" s="174">
        <v>440000</v>
      </c>
      <c r="D143" s="48"/>
      <c r="E143" s="74"/>
      <c r="F143" s="76"/>
      <c r="G143" s="70"/>
      <c r="H143" s="48"/>
    </row>
    <row r="144" spans="1:8" s="51" customFormat="1" ht="15.75">
      <c r="A144" s="170">
        <v>45889</v>
      </c>
      <c r="B144" s="159" t="s">
        <v>299</v>
      </c>
      <c r="C144" s="174">
        <v>200000</v>
      </c>
      <c r="D144" s="48"/>
      <c r="E144" s="74"/>
      <c r="F144" s="76"/>
      <c r="G144" s="70"/>
      <c r="H144" s="48"/>
    </row>
    <row r="145" spans="1:8" s="51" customFormat="1" ht="15.75">
      <c r="A145" s="170">
        <v>45890</v>
      </c>
      <c r="B145" s="40" t="s">
        <v>304</v>
      </c>
      <c r="C145" s="174">
        <v>200000</v>
      </c>
      <c r="D145" s="48"/>
      <c r="E145" s="74"/>
      <c r="F145" s="76"/>
      <c r="G145" s="70"/>
      <c r="H145" s="48"/>
    </row>
    <row r="146" spans="1:8" s="51" customFormat="1" ht="15.75">
      <c r="A146" s="170">
        <v>45890</v>
      </c>
      <c r="B146" s="40" t="s">
        <v>306</v>
      </c>
      <c r="C146" s="174">
        <v>150000</v>
      </c>
      <c r="D146" s="48"/>
      <c r="E146" s="74"/>
      <c r="F146" s="76"/>
      <c r="G146" s="70"/>
      <c r="H146" s="48"/>
    </row>
    <row r="147" spans="1:8" s="51" customFormat="1" ht="15.75">
      <c r="A147" s="170">
        <v>45895</v>
      </c>
      <c r="B147" s="44" t="s">
        <v>312</v>
      </c>
      <c r="C147" s="173">
        <v>100000</v>
      </c>
      <c r="D147" s="48"/>
      <c r="E147" s="74"/>
      <c r="F147" s="76"/>
      <c r="G147" s="70"/>
      <c r="H147" s="48"/>
    </row>
    <row r="148" spans="1:8" s="51" customFormat="1" ht="15.75">
      <c r="A148" s="170">
        <v>45899</v>
      </c>
      <c r="B148" s="44" t="s">
        <v>316</v>
      </c>
      <c r="C148" s="174">
        <v>90000</v>
      </c>
      <c r="D148" s="48"/>
      <c r="E148" s="74"/>
      <c r="F148" s="76"/>
      <c r="G148" s="70"/>
      <c r="H148" s="48"/>
    </row>
    <row r="149" spans="1:8" s="51" customFormat="1" ht="15.75">
      <c r="A149" s="170">
        <v>45899</v>
      </c>
      <c r="B149" s="44" t="s">
        <v>319</v>
      </c>
      <c r="C149" s="174">
        <v>180000</v>
      </c>
      <c r="D149" s="48"/>
      <c r="E149" s="74"/>
      <c r="F149" s="76"/>
      <c r="G149" s="70"/>
      <c r="H149" s="48"/>
    </row>
    <row r="150" spans="1:8" s="51" customFormat="1" ht="15.75">
      <c r="A150" s="170">
        <v>45899</v>
      </c>
      <c r="B150" s="166" t="s">
        <v>322</v>
      </c>
      <c r="C150" s="174">
        <v>150000</v>
      </c>
      <c r="D150" s="48"/>
      <c r="E150" s="74"/>
      <c r="F150" s="76"/>
      <c r="G150" s="70"/>
      <c r="H150" s="48"/>
    </row>
    <row r="151" spans="1:8" s="51" customFormat="1" ht="15.75">
      <c r="A151" s="170">
        <v>45900</v>
      </c>
      <c r="B151" s="166" t="s">
        <v>320</v>
      </c>
      <c r="C151" s="174">
        <v>70000</v>
      </c>
      <c r="D151" s="48"/>
      <c r="E151" s="74"/>
      <c r="F151" s="76"/>
      <c r="G151" s="70"/>
      <c r="H151" s="48"/>
    </row>
    <row r="152" spans="1:8" s="51" customFormat="1" ht="15.75">
      <c r="A152" s="170">
        <v>45900</v>
      </c>
      <c r="B152" s="166" t="s">
        <v>321</v>
      </c>
      <c r="C152" s="174">
        <v>140000</v>
      </c>
      <c r="D152" s="48"/>
      <c r="E152" s="74"/>
      <c r="F152" s="76"/>
      <c r="G152" s="70"/>
      <c r="H152" s="48"/>
    </row>
    <row r="153" spans="1:8" s="51" customFormat="1" ht="15.75">
      <c r="A153" s="170"/>
      <c r="B153" s="44"/>
      <c r="C153" s="174"/>
      <c r="D153" s="48"/>
      <c r="E153" s="74"/>
      <c r="F153" s="76"/>
      <c r="G153" s="70"/>
      <c r="H153" s="48"/>
    </row>
    <row r="154" spans="1:8" s="51" customFormat="1" ht="15.75">
      <c r="A154" s="170"/>
      <c r="B154" s="44"/>
      <c r="C154" s="174"/>
      <c r="D154" s="48"/>
      <c r="E154" s="74"/>
      <c r="F154" s="76"/>
      <c r="G154" s="70"/>
      <c r="H154" s="48"/>
    </row>
    <row r="155" spans="1:8" s="51" customFormat="1" ht="15.75">
      <c r="A155" s="258"/>
      <c r="B155" s="175" t="s">
        <v>35</v>
      </c>
      <c r="C155" s="176">
        <f>SUM(C132:C152)</f>
        <v>3125000</v>
      </c>
      <c r="D155" s="48"/>
      <c r="E155" s="80"/>
      <c r="F155" s="78" t="s">
        <v>35</v>
      </c>
      <c r="G155" s="79">
        <f>SUM(G132:G148)</f>
        <v>0</v>
      </c>
      <c r="H155" s="48"/>
    </row>
    <row r="156" spans="1:8" s="51" customFormat="1" ht="15.75">
      <c r="A156" s="47"/>
      <c r="B156" s="48"/>
      <c r="C156" s="47"/>
      <c r="D156" s="48"/>
      <c r="E156" s="80"/>
      <c r="F156" s="81"/>
      <c r="G156" s="82"/>
      <c r="H156" s="48"/>
    </row>
    <row r="157" spans="1:8" s="51" customFormat="1" ht="15.75">
      <c r="A157" s="47"/>
      <c r="B157" s="107" t="s">
        <v>80</v>
      </c>
      <c r="C157" s="47"/>
      <c r="D157" s="48"/>
      <c r="E157" s="53"/>
      <c r="F157" s="107" t="s">
        <v>80</v>
      </c>
      <c r="G157" s="54"/>
      <c r="H157" s="48"/>
    </row>
    <row r="158" spans="1:8" s="51" customFormat="1" ht="15.75">
      <c r="A158" s="55"/>
      <c r="B158" s="107" t="s">
        <v>44</v>
      </c>
      <c r="C158" s="47"/>
      <c r="D158" s="48"/>
      <c r="E158" s="53"/>
      <c r="F158" s="107" t="s">
        <v>45</v>
      </c>
      <c r="G158" s="54"/>
      <c r="H158" s="48"/>
    </row>
    <row r="159" spans="1:8" s="51" customFormat="1" ht="15.75">
      <c r="A159" s="107" t="s">
        <v>32</v>
      </c>
      <c r="B159" s="107" t="s">
        <v>33</v>
      </c>
      <c r="C159" s="108" t="s">
        <v>34</v>
      </c>
      <c r="D159" s="48"/>
      <c r="E159" s="107" t="s">
        <v>32</v>
      </c>
      <c r="F159" s="107" t="s">
        <v>33</v>
      </c>
      <c r="G159" s="109" t="s">
        <v>34</v>
      </c>
      <c r="H159" s="48"/>
    </row>
    <row r="160" spans="1:8" s="51" customFormat="1" ht="15.75">
      <c r="A160" s="56">
        <v>45902</v>
      </c>
      <c r="B160" s="66" t="s">
        <v>326</v>
      </c>
      <c r="C160" s="58">
        <v>60000</v>
      </c>
      <c r="D160" s="48"/>
      <c r="E160" s="74"/>
      <c r="F160" s="76"/>
      <c r="G160" s="70"/>
      <c r="H160" s="48"/>
    </row>
    <row r="161" spans="1:8" s="51" customFormat="1" ht="15.75">
      <c r="A161" s="56">
        <v>45904</v>
      </c>
      <c r="B161" s="185" t="s">
        <v>340</v>
      </c>
      <c r="C161" s="58">
        <v>120000</v>
      </c>
      <c r="D161" s="48"/>
      <c r="E161" s="74"/>
      <c r="F161" s="85"/>
      <c r="G161" s="70"/>
      <c r="H161" s="48"/>
    </row>
    <row r="162" spans="1:8" s="51" customFormat="1" ht="15.75">
      <c r="A162" s="56">
        <v>45904</v>
      </c>
      <c r="B162" s="185" t="s">
        <v>344</v>
      </c>
      <c r="C162" s="58">
        <v>70000</v>
      </c>
      <c r="D162" s="48"/>
      <c r="E162" s="74"/>
      <c r="F162" s="85"/>
      <c r="G162" s="70"/>
      <c r="H162" s="48"/>
    </row>
    <row r="163" spans="1:8" s="51" customFormat="1" ht="15.75">
      <c r="A163" s="56">
        <v>45908</v>
      </c>
      <c r="B163" s="185" t="s">
        <v>349</v>
      </c>
      <c r="C163" s="58">
        <v>110000</v>
      </c>
      <c r="D163" s="48"/>
      <c r="E163" s="74"/>
      <c r="F163" s="76"/>
      <c r="G163" s="70"/>
      <c r="H163" s="48"/>
    </row>
    <row r="164" spans="1:8" s="51" customFormat="1" ht="15.75">
      <c r="A164" s="56">
        <v>45909</v>
      </c>
      <c r="B164" s="63" t="s">
        <v>359</v>
      </c>
      <c r="C164" s="58">
        <v>110000</v>
      </c>
      <c r="D164" s="48"/>
      <c r="E164" s="74"/>
      <c r="F164" s="76"/>
      <c r="G164" s="70"/>
      <c r="H164" s="48"/>
    </row>
    <row r="165" spans="1:8" s="51" customFormat="1" ht="15.75">
      <c r="A165" s="56">
        <v>45909</v>
      </c>
      <c r="B165" s="40" t="s">
        <v>360</v>
      </c>
      <c r="C165" s="58">
        <v>110000</v>
      </c>
      <c r="D165" s="48"/>
      <c r="E165" s="74"/>
      <c r="F165" s="76"/>
      <c r="G165" s="70"/>
      <c r="H165" s="48"/>
    </row>
    <row r="166" spans="1:8" s="51" customFormat="1" ht="15.75">
      <c r="A166" s="56">
        <v>45911</v>
      </c>
      <c r="B166" s="40" t="s">
        <v>361</v>
      </c>
      <c r="C166" s="58">
        <v>101000</v>
      </c>
      <c r="D166" s="48"/>
      <c r="E166" s="74"/>
      <c r="F166" s="59"/>
      <c r="G166" s="70"/>
      <c r="H166" s="48"/>
    </row>
    <row r="167" spans="1:8" s="51" customFormat="1" ht="15.75">
      <c r="A167" s="56">
        <v>45912</v>
      </c>
      <c r="B167" s="44" t="s">
        <v>367</v>
      </c>
      <c r="C167" s="186">
        <v>120000</v>
      </c>
      <c r="D167" s="48"/>
      <c r="E167" s="74"/>
      <c r="F167" s="59"/>
      <c r="G167" s="70"/>
      <c r="H167" s="48"/>
    </row>
    <row r="168" spans="1:8" s="51" customFormat="1" ht="15.75">
      <c r="A168" s="56">
        <v>45912</v>
      </c>
      <c r="B168" s="166" t="s">
        <v>368</v>
      </c>
      <c r="C168" s="186">
        <v>60000</v>
      </c>
      <c r="D168" s="48"/>
      <c r="E168" s="74"/>
      <c r="F168" s="85"/>
      <c r="G168" s="70"/>
      <c r="H168" s="48"/>
    </row>
    <row r="169" spans="1:8" s="51" customFormat="1" ht="15.75">
      <c r="A169" s="56">
        <v>45912</v>
      </c>
      <c r="B169" s="166" t="s">
        <v>369</v>
      </c>
      <c r="C169" s="186">
        <v>70000</v>
      </c>
      <c r="D169" s="48"/>
      <c r="E169" s="74"/>
      <c r="F169" s="85"/>
      <c r="G169" s="99"/>
      <c r="H169" s="48"/>
    </row>
    <row r="170" spans="1:8" s="51" customFormat="1" ht="15.75">
      <c r="A170" s="56">
        <v>45915</v>
      </c>
      <c r="B170" s="166" t="s">
        <v>370</v>
      </c>
      <c r="C170" s="186">
        <v>60000</v>
      </c>
      <c r="D170" s="48"/>
      <c r="E170" s="68"/>
      <c r="F170" s="69"/>
      <c r="G170" s="84"/>
      <c r="H170" s="48"/>
    </row>
    <row r="171" spans="1:8" s="51" customFormat="1" ht="15.75">
      <c r="A171" s="56">
        <v>45915</v>
      </c>
      <c r="B171" s="166" t="s">
        <v>371</v>
      </c>
      <c r="C171" s="186">
        <v>200000</v>
      </c>
      <c r="D171" s="48"/>
      <c r="E171" s="68"/>
      <c r="F171" s="69"/>
      <c r="G171" s="70"/>
      <c r="H171" s="48"/>
    </row>
    <row r="172" spans="1:8" s="51" customFormat="1" ht="15.75">
      <c r="A172" s="56">
        <v>45915</v>
      </c>
      <c r="B172" s="44" t="s">
        <v>371</v>
      </c>
      <c r="C172" s="186">
        <v>200000</v>
      </c>
      <c r="D172" s="48"/>
      <c r="E172" s="68"/>
      <c r="F172" s="71"/>
      <c r="G172" s="70"/>
      <c r="H172" s="48"/>
    </row>
    <row r="173" spans="1:8" s="51" customFormat="1" ht="15.75">
      <c r="A173" s="56">
        <v>45915</v>
      </c>
      <c r="B173" s="57" t="s">
        <v>386</v>
      </c>
      <c r="C173" s="58">
        <v>120000</v>
      </c>
      <c r="D173" s="48"/>
      <c r="E173" s="72"/>
      <c r="F173" s="59"/>
      <c r="G173" s="70"/>
      <c r="H173" s="48"/>
    </row>
    <row r="174" spans="1:8" s="51" customFormat="1" ht="15.75">
      <c r="A174" s="56">
        <v>45915</v>
      </c>
      <c r="B174" s="185" t="s">
        <v>387</v>
      </c>
      <c r="C174" s="58">
        <v>110000</v>
      </c>
      <c r="D174" s="48"/>
      <c r="E174" s="74"/>
      <c r="F174" s="59"/>
      <c r="G174" s="70"/>
      <c r="H174" s="48"/>
    </row>
    <row r="175" spans="1:8" s="51" customFormat="1" ht="15.75">
      <c r="A175" s="56">
        <v>45915</v>
      </c>
      <c r="B175" s="40" t="s">
        <v>397</v>
      </c>
      <c r="C175" s="58">
        <v>360000</v>
      </c>
      <c r="D175" s="48"/>
      <c r="E175" s="74"/>
      <c r="F175" s="59"/>
      <c r="G175" s="70"/>
      <c r="H175" s="48"/>
    </row>
    <row r="176" spans="1:8" s="51" customFormat="1" ht="15.75">
      <c r="A176" s="56">
        <v>45920</v>
      </c>
      <c r="B176" s="66" t="s">
        <v>407</v>
      </c>
      <c r="C176" s="58">
        <v>130000</v>
      </c>
      <c r="D176" s="48"/>
      <c r="E176" s="74"/>
      <c r="F176" s="76"/>
      <c r="G176" s="70"/>
      <c r="H176" s="48"/>
    </row>
    <row r="177" spans="1:8" s="51" customFormat="1" ht="15.75">
      <c r="A177" s="56">
        <v>45922</v>
      </c>
      <c r="B177" s="40" t="s">
        <v>410</v>
      </c>
      <c r="C177" s="186">
        <v>70000</v>
      </c>
      <c r="D177" s="48"/>
      <c r="E177" s="74"/>
      <c r="F177" s="76"/>
      <c r="G177" s="70"/>
      <c r="H177" s="48"/>
    </row>
    <row r="178" spans="1:8" s="51" customFormat="1" ht="15.75">
      <c r="A178" s="56">
        <v>45922</v>
      </c>
      <c r="B178" s="2" t="s">
        <v>411</v>
      </c>
      <c r="C178" s="186">
        <v>60000</v>
      </c>
      <c r="D178" s="48"/>
      <c r="E178" s="74"/>
      <c r="F178" s="76"/>
      <c r="G178" s="70"/>
      <c r="H178" s="48"/>
    </row>
    <row r="179" spans="1:8" s="51" customFormat="1" ht="15.75">
      <c r="A179" s="56">
        <v>45923</v>
      </c>
      <c r="B179" s="44" t="s">
        <v>416</v>
      </c>
      <c r="C179" s="58">
        <v>110000</v>
      </c>
      <c r="D179" s="48"/>
      <c r="E179" s="74"/>
      <c r="F179" s="76"/>
      <c r="G179" s="70"/>
      <c r="H179" s="48"/>
    </row>
    <row r="180" spans="1:8" s="51" customFormat="1" ht="15.75">
      <c r="A180" s="75">
        <v>45924</v>
      </c>
      <c r="B180" s="203" t="s">
        <v>419</v>
      </c>
      <c r="C180" s="58">
        <v>110000</v>
      </c>
      <c r="D180" s="48"/>
      <c r="E180" s="74"/>
      <c r="F180" s="76"/>
      <c r="G180" s="70"/>
      <c r="H180" s="48"/>
    </row>
    <row r="181" spans="1:8" s="51" customFormat="1" ht="15.75">
      <c r="A181" s="75">
        <v>45924</v>
      </c>
      <c r="B181" s="203" t="s">
        <v>421</v>
      </c>
      <c r="C181" s="58">
        <v>80000</v>
      </c>
      <c r="D181" s="48"/>
      <c r="E181" s="74"/>
      <c r="F181" s="76"/>
      <c r="G181" s="70"/>
      <c r="H181" s="48"/>
    </row>
    <row r="182" spans="1:8" s="51" customFormat="1" ht="15.75">
      <c r="A182" s="75">
        <v>45924</v>
      </c>
      <c r="B182" s="205" t="s">
        <v>423</v>
      </c>
      <c r="C182" s="58">
        <v>70000</v>
      </c>
      <c r="D182" s="48"/>
      <c r="E182" s="74"/>
      <c r="F182" s="76"/>
      <c r="G182" s="70"/>
      <c r="H182" s="48"/>
    </row>
    <row r="183" spans="1:8" s="51" customFormat="1" ht="15.75">
      <c r="A183" s="75">
        <v>45926</v>
      </c>
      <c r="B183" s="204" t="s">
        <v>425</v>
      </c>
      <c r="C183" s="58">
        <v>60000</v>
      </c>
      <c r="D183" s="48"/>
      <c r="E183" s="74"/>
      <c r="F183" s="76"/>
      <c r="G183" s="70"/>
      <c r="H183" s="48"/>
    </row>
    <row r="184" spans="1:8" s="51" customFormat="1" ht="15.75">
      <c r="A184" s="75">
        <v>45926</v>
      </c>
      <c r="B184" s="44" t="s">
        <v>430</v>
      </c>
      <c r="C184" s="58">
        <v>160000</v>
      </c>
      <c r="D184" s="48"/>
      <c r="E184" s="74"/>
      <c r="F184" s="76"/>
      <c r="G184" s="70"/>
      <c r="H184" s="48"/>
    </row>
    <row r="185" spans="1:8" s="51" customFormat="1" ht="15.75">
      <c r="A185" s="75">
        <v>45926</v>
      </c>
      <c r="B185" s="44" t="s">
        <v>431</v>
      </c>
      <c r="C185" s="58">
        <v>60000</v>
      </c>
      <c r="D185" s="48"/>
      <c r="E185" s="74"/>
      <c r="F185" s="76"/>
      <c r="G185" s="70"/>
      <c r="H185" s="48"/>
    </row>
    <row r="186" spans="1:8" s="51" customFormat="1" ht="15.75">
      <c r="A186" s="75">
        <v>45926</v>
      </c>
      <c r="B186" s="183" t="s">
        <v>432</v>
      </c>
      <c r="C186" s="208">
        <v>60000</v>
      </c>
      <c r="D186" s="48"/>
      <c r="E186" s="74"/>
      <c r="F186" s="76"/>
      <c r="G186" s="70"/>
      <c r="H186" s="48"/>
    </row>
    <row r="187" spans="1:8" s="51" customFormat="1" ht="15.75">
      <c r="A187" s="75">
        <v>45929</v>
      </c>
      <c r="B187" s="183" t="s">
        <v>433</v>
      </c>
      <c r="C187" s="209">
        <v>70000</v>
      </c>
      <c r="D187" s="48"/>
      <c r="E187" s="74"/>
      <c r="F187" s="76"/>
      <c r="G187" s="70"/>
      <c r="H187" s="48"/>
    </row>
    <row r="188" spans="1:8" s="51" customFormat="1" ht="15.75">
      <c r="A188" s="75">
        <v>45930</v>
      </c>
      <c r="B188" s="183" t="s">
        <v>434</v>
      </c>
      <c r="C188" s="208">
        <v>60000</v>
      </c>
      <c r="D188" s="48"/>
      <c r="E188" s="74"/>
      <c r="F188" s="76"/>
      <c r="G188" s="70"/>
      <c r="H188" s="48"/>
    </row>
    <row r="189" spans="1:8" s="51" customFormat="1" ht="15.75">
      <c r="A189" s="75">
        <v>45930</v>
      </c>
      <c r="B189" s="183" t="s">
        <v>435</v>
      </c>
      <c r="C189" s="209">
        <v>120000</v>
      </c>
      <c r="D189" s="48"/>
      <c r="E189" s="74"/>
      <c r="F189" s="76"/>
      <c r="G189" s="70"/>
      <c r="H189" s="48"/>
    </row>
    <row r="190" spans="1:8" s="51" customFormat="1" ht="15.75">
      <c r="A190" s="75"/>
      <c r="B190" s="44"/>
      <c r="C190" s="58"/>
      <c r="D190" s="48"/>
      <c r="E190" s="74"/>
      <c r="F190" s="76"/>
      <c r="G190" s="70"/>
      <c r="H190" s="48"/>
    </row>
    <row r="191" spans="1:8" s="51" customFormat="1" ht="15.75">
      <c r="A191" s="77"/>
      <c r="B191" s="78" t="s">
        <v>35</v>
      </c>
      <c r="C191" s="79">
        <f>SUM(C160:C189)</f>
        <v>3201000</v>
      </c>
      <c r="D191" s="48"/>
      <c r="E191" s="80"/>
      <c r="F191" s="78" t="s">
        <v>35</v>
      </c>
      <c r="G191" s="79">
        <f>SUM(G160:G175)</f>
        <v>0</v>
      </c>
      <c r="H191" s="48"/>
    </row>
    <row r="192" spans="1:8" s="51" customFormat="1" ht="15.75">
      <c r="A192" s="47"/>
      <c r="B192" s="48"/>
      <c r="C192" s="47"/>
      <c r="D192" s="48"/>
      <c r="E192" s="80"/>
      <c r="F192" s="81"/>
      <c r="G192" s="82"/>
      <c r="H192" s="48"/>
    </row>
    <row r="193" spans="1:8" s="51" customFormat="1" ht="15.75">
      <c r="A193" s="47"/>
      <c r="B193" s="107" t="s">
        <v>80</v>
      </c>
      <c r="C193" s="47"/>
      <c r="D193" s="48"/>
      <c r="E193" s="53"/>
      <c r="F193" s="107" t="s">
        <v>80</v>
      </c>
      <c r="G193" s="54"/>
      <c r="H193" s="48"/>
    </row>
    <row r="194" spans="1:8" s="51" customFormat="1" ht="15.75">
      <c r="A194" s="55"/>
      <c r="B194" s="107" t="s">
        <v>46</v>
      </c>
      <c r="C194" s="47"/>
      <c r="D194" s="48"/>
      <c r="E194" s="53"/>
      <c r="F194" s="107" t="s">
        <v>47</v>
      </c>
      <c r="G194" s="54"/>
      <c r="H194" s="48"/>
    </row>
    <row r="195" spans="1:8" s="51" customFormat="1" ht="15.75">
      <c r="A195" s="107" t="s">
        <v>32</v>
      </c>
      <c r="B195" s="107" t="s">
        <v>33</v>
      </c>
      <c r="C195" s="108" t="s">
        <v>34</v>
      </c>
      <c r="D195" s="48"/>
      <c r="E195" s="107" t="s">
        <v>32</v>
      </c>
      <c r="F195" s="107" t="s">
        <v>33</v>
      </c>
      <c r="G195" s="109" t="s">
        <v>34</v>
      </c>
      <c r="H195" s="48"/>
    </row>
    <row r="196" spans="1:8" s="51" customFormat="1" ht="15.75">
      <c r="A196" s="170">
        <v>45931</v>
      </c>
      <c r="B196" s="44" t="s">
        <v>436</v>
      </c>
      <c r="C196" s="240">
        <v>100000</v>
      </c>
      <c r="D196" s="48"/>
      <c r="E196" s="74"/>
      <c r="F196" s="76"/>
      <c r="G196" s="70"/>
      <c r="H196" s="48"/>
    </row>
    <row r="197" spans="1:8" s="51" customFormat="1" ht="15.75">
      <c r="A197" s="170">
        <v>45933</v>
      </c>
      <c r="B197" s="235" t="s">
        <v>451</v>
      </c>
      <c r="C197" s="240">
        <v>70000</v>
      </c>
      <c r="D197" s="48"/>
      <c r="E197" s="74"/>
      <c r="F197" s="76"/>
      <c r="G197" s="70"/>
      <c r="H197" s="48"/>
    </row>
    <row r="198" spans="1:8" s="51" customFormat="1" ht="15.75">
      <c r="A198" s="236">
        <v>45934</v>
      </c>
      <c r="B198" s="183" t="s">
        <v>453</v>
      </c>
      <c r="C198" s="241">
        <v>90000</v>
      </c>
      <c r="D198" s="48"/>
      <c r="E198" s="74"/>
      <c r="F198" s="65"/>
      <c r="G198" s="84"/>
      <c r="H198" s="48"/>
    </row>
    <row r="199" spans="1:8" s="51" customFormat="1" ht="15.75">
      <c r="A199" s="236">
        <v>45934</v>
      </c>
      <c r="B199" s="63" t="s">
        <v>464</v>
      </c>
      <c r="C199" s="240">
        <v>60000</v>
      </c>
      <c r="D199" s="48"/>
      <c r="E199" s="74"/>
      <c r="F199" s="65"/>
      <c r="G199" s="70"/>
      <c r="H199" s="48"/>
    </row>
    <row r="200" spans="1:8" s="51" customFormat="1" ht="15.75">
      <c r="A200" s="237">
        <v>45936</v>
      </c>
      <c r="B200" s="183" t="s">
        <v>456</v>
      </c>
      <c r="C200" s="240">
        <v>60000</v>
      </c>
      <c r="D200" s="48"/>
      <c r="E200" s="74"/>
      <c r="F200" s="73"/>
      <c r="G200" s="70"/>
      <c r="H200" s="48"/>
    </row>
    <row r="201" spans="1:8" s="51" customFormat="1" ht="15.75">
      <c r="A201" s="237">
        <v>45936</v>
      </c>
      <c r="B201" s="183" t="s">
        <v>457</v>
      </c>
      <c r="C201" s="240">
        <v>70000</v>
      </c>
      <c r="D201" s="48"/>
      <c r="E201" s="74"/>
      <c r="F201" s="65"/>
      <c r="G201" s="70"/>
      <c r="H201" s="48"/>
    </row>
    <row r="202" spans="1:8" s="51" customFormat="1" ht="15.75">
      <c r="A202" s="237">
        <v>45938</v>
      </c>
      <c r="B202" s="183" t="s">
        <v>471</v>
      </c>
      <c r="C202" s="240">
        <v>101000</v>
      </c>
      <c r="D202" s="48"/>
      <c r="E202" s="74"/>
      <c r="F202" s="65"/>
      <c r="G202" s="70"/>
      <c r="H202" s="48"/>
    </row>
    <row r="203" spans="1:8" s="51" customFormat="1" ht="15.75">
      <c r="A203" s="237">
        <v>45938</v>
      </c>
      <c r="B203" s="238" t="s">
        <v>473</v>
      </c>
      <c r="C203" s="240">
        <v>80000</v>
      </c>
      <c r="D203" s="48"/>
      <c r="E203" s="74"/>
      <c r="F203" s="67"/>
      <c r="G203" s="84"/>
      <c r="H203" s="48"/>
    </row>
    <row r="204" spans="1:8" s="51" customFormat="1" ht="15.75">
      <c r="A204" s="237">
        <v>45938</v>
      </c>
      <c r="B204" s="44" t="s">
        <v>475</v>
      </c>
      <c r="C204" s="242">
        <v>120000</v>
      </c>
      <c r="D204" s="48"/>
      <c r="E204" s="74"/>
      <c r="F204" s="85"/>
      <c r="G204" s="70"/>
      <c r="H204" s="48"/>
    </row>
    <row r="205" spans="1:8" s="51" customFormat="1" ht="15.75">
      <c r="A205" s="236">
        <v>45940</v>
      </c>
      <c r="B205" s="66" t="s">
        <v>474</v>
      </c>
      <c r="C205" s="240">
        <v>101000</v>
      </c>
      <c r="D205" s="48"/>
      <c r="E205" s="72"/>
      <c r="F205" s="67"/>
      <c r="G205" s="70"/>
      <c r="H205" s="48"/>
    </row>
    <row r="206" spans="1:8" s="51" customFormat="1" ht="15.75">
      <c r="A206" s="236">
        <v>45940</v>
      </c>
      <c r="B206" s="66" t="s">
        <v>482</v>
      </c>
      <c r="C206" s="240">
        <v>101000</v>
      </c>
      <c r="D206" s="48"/>
      <c r="E206" s="72"/>
      <c r="F206" s="67"/>
      <c r="G206" s="70"/>
      <c r="H206" s="48"/>
    </row>
    <row r="207" spans="1:8" s="51" customFormat="1" ht="15.75">
      <c r="A207" s="236">
        <v>45941</v>
      </c>
      <c r="B207" s="66" t="s">
        <v>490</v>
      </c>
      <c r="C207" s="240">
        <v>101000</v>
      </c>
      <c r="D207" s="48"/>
      <c r="E207" s="72"/>
      <c r="F207" s="86"/>
      <c r="G207" s="70"/>
      <c r="H207" s="48"/>
    </row>
    <row r="208" spans="1:8" s="51" customFormat="1" ht="15.75">
      <c r="A208" s="237">
        <v>45943</v>
      </c>
      <c r="B208" s="44" t="s">
        <v>491</v>
      </c>
      <c r="C208" s="243">
        <v>101000</v>
      </c>
      <c r="D208" s="48"/>
      <c r="E208" s="89"/>
      <c r="F208" s="85"/>
      <c r="G208" s="90"/>
      <c r="H208" s="48"/>
    </row>
    <row r="209" spans="1:8" s="51" customFormat="1" ht="15.75">
      <c r="A209" s="237">
        <v>45943</v>
      </c>
      <c r="B209" s="44" t="s">
        <v>493</v>
      </c>
      <c r="C209" s="244">
        <v>130000</v>
      </c>
      <c r="D209" s="48"/>
      <c r="E209" s="89"/>
      <c r="F209" s="67"/>
      <c r="G209" s="90"/>
      <c r="H209" s="48"/>
    </row>
    <row r="210" spans="1:8" s="51" customFormat="1" ht="15.75">
      <c r="A210" s="237">
        <v>45943</v>
      </c>
      <c r="B210" s="44" t="s">
        <v>496</v>
      </c>
      <c r="C210" s="243">
        <v>101000</v>
      </c>
      <c r="D210" s="48"/>
      <c r="E210" s="89"/>
      <c r="F210" s="85"/>
      <c r="G210" s="70"/>
      <c r="H210" s="48"/>
    </row>
    <row r="211" spans="1:8" s="51" customFormat="1" ht="15.75">
      <c r="A211" s="237">
        <v>45944</v>
      </c>
      <c r="B211" s="44" t="s">
        <v>501</v>
      </c>
      <c r="C211" s="243">
        <v>280000</v>
      </c>
      <c r="D211" s="48"/>
      <c r="E211" s="89"/>
      <c r="F211" s="85"/>
      <c r="G211" s="70"/>
      <c r="H211" s="48"/>
    </row>
    <row r="212" spans="1:8" s="51" customFormat="1" ht="15.75">
      <c r="A212" s="237">
        <v>45944</v>
      </c>
      <c r="B212" s="44" t="s">
        <v>503</v>
      </c>
      <c r="C212" s="245">
        <v>180000</v>
      </c>
      <c r="D212" s="48"/>
      <c r="E212" s="89"/>
      <c r="F212" s="85"/>
      <c r="G212" s="70"/>
      <c r="H212" s="48"/>
    </row>
    <row r="213" spans="1:8" s="51" customFormat="1" ht="15.75">
      <c r="A213" s="237">
        <v>45945</v>
      </c>
      <c r="B213" s="44" t="s">
        <v>504</v>
      </c>
      <c r="C213" s="246">
        <v>60000</v>
      </c>
      <c r="D213" s="48"/>
      <c r="E213" s="74"/>
      <c r="F213" s="76"/>
      <c r="G213" s="70"/>
      <c r="H213" s="48"/>
    </row>
    <row r="214" spans="1:8" s="51" customFormat="1" ht="15.75">
      <c r="A214" s="237">
        <v>45946</v>
      </c>
      <c r="B214" s="44" t="s">
        <v>515</v>
      </c>
      <c r="C214" s="246">
        <v>60000</v>
      </c>
      <c r="D214" s="48"/>
      <c r="E214" s="74"/>
      <c r="F214" s="76"/>
      <c r="G214" s="70"/>
      <c r="H214" s="48"/>
    </row>
    <row r="215" spans="1:8" s="51" customFormat="1" ht="15.75">
      <c r="A215" s="237">
        <v>45946</v>
      </c>
      <c r="B215" s="159" t="s">
        <v>520</v>
      </c>
      <c r="C215" s="240">
        <v>110000</v>
      </c>
      <c r="D215" s="48"/>
      <c r="E215" s="74"/>
      <c r="F215" s="76"/>
      <c r="G215" s="70"/>
      <c r="H215" s="48"/>
    </row>
    <row r="216" spans="1:8" s="51" customFormat="1" ht="15.75">
      <c r="A216" s="237">
        <v>45946</v>
      </c>
      <c r="B216" s="44" t="s">
        <v>521</v>
      </c>
      <c r="C216" s="240">
        <v>120000</v>
      </c>
      <c r="D216" s="48"/>
      <c r="E216" s="74"/>
      <c r="F216" s="76"/>
      <c r="G216" s="70"/>
      <c r="H216" s="48"/>
    </row>
    <row r="217" spans="1:8" s="51" customFormat="1" ht="15.75">
      <c r="A217" s="237">
        <v>45950</v>
      </c>
      <c r="B217" s="44" t="s">
        <v>537</v>
      </c>
      <c r="C217" s="240">
        <v>110000</v>
      </c>
      <c r="D217" s="48"/>
      <c r="E217" s="74"/>
      <c r="F217" s="76"/>
      <c r="G217" s="70"/>
      <c r="H217" s="48"/>
    </row>
    <row r="218" spans="1:8" s="51" customFormat="1" ht="15.75">
      <c r="A218" s="237">
        <v>45950</v>
      </c>
      <c r="B218" s="44" t="s">
        <v>528</v>
      </c>
      <c r="C218" s="240">
        <v>70000</v>
      </c>
      <c r="D218" s="48"/>
      <c r="E218" s="74"/>
      <c r="F218" s="67"/>
      <c r="G218" s="84"/>
      <c r="H218" s="48"/>
    </row>
    <row r="219" spans="1:8" s="51" customFormat="1" ht="15.75">
      <c r="A219" s="237">
        <v>45952</v>
      </c>
      <c r="B219" s="159" t="s">
        <v>530</v>
      </c>
      <c r="C219" s="240">
        <v>120000</v>
      </c>
      <c r="D219" s="48"/>
      <c r="E219" s="74"/>
      <c r="F219" s="76"/>
      <c r="G219" s="70"/>
      <c r="H219" s="48"/>
    </row>
    <row r="220" spans="1:8" s="51" customFormat="1" ht="15.75">
      <c r="A220" s="237">
        <v>45953</v>
      </c>
      <c r="B220" s="44" t="s">
        <v>539</v>
      </c>
      <c r="C220" s="247">
        <v>140000</v>
      </c>
      <c r="D220" s="48"/>
      <c r="E220" s="74"/>
      <c r="F220" s="76"/>
      <c r="G220" s="70"/>
      <c r="H220" s="48"/>
    </row>
    <row r="221" spans="1:8" s="51" customFormat="1" ht="15.75">
      <c r="A221" s="237">
        <v>45953</v>
      </c>
      <c r="B221" s="44" t="s">
        <v>540</v>
      </c>
      <c r="C221" s="248">
        <v>110000</v>
      </c>
      <c r="D221" s="48"/>
      <c r="E221" s="74"/>
      <c r="F221" s="76"/>
      <c r="G221" s="70"/>
      <c r="H221" s="48"/>
    </row>
    <row r="222" spans="1:8" s="51" customFormat="1" ht="15.75">
      <c r="A222" s="237">
        <v>45954</v>
      </c>
      <c r="B222" s="44" t="s">
        <v>541</v>
      </c>
      <c r="C222" s="248">
        <v>300000</v>
      </c>
      <c r="D222" s="48"/>
      <c r="E222" s="239"/>
      <c r="F222" s="76"/>
      <c r="G222" s="70"/>
      <c r="H222" s="48"/>
    </row>
    <row r="223" spans="1:8" s="51" customFormat="1" ht="15.75">
      <c r="A223" s="237">
        <v>45954</v>
      </c>
      <c r="B223" s="44" t="s">
        <v>547</v>
      </c>
      <c r="C223" s="248">
        <v>70000</v>
      </c>
      <c r="D223" s="48"/>
      <c r="E223" s="239"/>
      <c r="F223" s="76"/>
      <c r="G223" s="70"/>
      <c r="H223" s="48"/>
    </row>
    <row r="224" spans="1:8" s="51" customFormat="1" ht="15.75">
      <c r="A224" s="237">
        <v>45957</v>
      </c>
      <c r="B224" s="44" t="s">
        <v>553</v>
      </c>
      <c r="C224" s="248">
        <v>100000</v>
      </c>
      <c r="D224" s="48"/>
      <c r="E224" s="239"/>
      <c r="F224" s="76"/>
      <c r="G224" s="70"/>
      <c r="H224" s="48"/>
    </row>
    <row r="225" spans="1:8" s="51" customFormat="1" ht="15.75">
      <c r="A225" s="237">
        <v>45958</v>
      </c>
      <c r="B225" s="44" t="s">
        <v>557</v>
      </c>
      <c r="C225" s="248">
        <v>110000</v>
      </c>
      <c r="D225" s="48"/>
      <c r="E225" s="239"/>
      <c r="F225" s="76"/>
      <c r="G225" s="70"/>
      <c r="H225" s="48"/>
    </row>
    <row r="226" spans="1:8" s="51" customFormat="1" ht="15.75">
      <c r="A226" s="237">
        <v>45958</v>
      </c>
      <c r="B226" s="44" t="s">
        <v>559</v>
      </c>
      <c r="C226" s="248">
        <v>70000</v>
      </c>
      <c r="D226" s="48"/>
      <c r="E226" s="239"/>
      <c r="F226" s="76"/>
      <c r="G226" s="70"/>
      <c r="H226" s="48"/>
    </row>
    <row r="227" spans="1:8" s="51" customFormat="1" ht="15.75">
      <c r="A227" s="237">
        <v>45958</v>
      </c>
      <c r="B227" s="44" t="s">
        <v>560</v>
      </c>
      <c r="C227" s="248">
        <v>80000</v>
      </c>
      <c r="D227" s="48"/>
      <c r="E227" s="239"/>
      <c r="F227" s="76"/>
      <c r="G227" s="70"/>
      <c r="H227" s="48"/>
    </row>
    <row r="228" spans="1:8" s="51" customFormat="1" ht="15.75">
      <c r="A228" s="237">
        <v>45959</v>
      </c>
      <c r="B228" s="44" t="s">
        <v>571</v>
      </c>
      <c r="C228" s="248">
        <v>240000</v>
      </c>
      <c r="D228" s="48"/>
      <c r="E228" s="239"/>
      <c r="F228" s="76"/>
      <c r="G228" s="70"/>
      <c r="H228" s="48"/>
    </row>
    <row r="229" spans="1:8" s="51" customFormat="1" ht="15.75">
      <c r="A229" s="237">
        <v>45959</v>
      </c>
      <c r="B229" s="44" t="s">
        <v>574</v>
      </c>
      <c r="C229" s="248">
        <v>51000</v>
      </c>
      <c r="D229" s="48"/>
      <c r="E229" s="239"/>
      <c r="F229" s="76"/>
      <c r="G229" s="70"/>
      <c r="H229" s="48"/>
    </row>
    <row r="230" spans="1:8" s="51" customFormat="1" ht="15.75">
      <c r="A230" s="237">
        <v>45959</v>
      </c>
      <c r="B230" s="44" t="s">
        <v>573</v>
      </c>
      <c r="C230" s="248">
        <v>90000</v>
      </c>
      <c r="D230" s="48"/>
      <c r="E230" s="239"/>
      <c r="F230" s="76"/>
      <c r="G230" s="70"/>
      <c r="H230" s="48"/>
    </row>
    <row r="231" spans="1:8" s="51" customFormat="1" ht="15.75">
      <c r="A231" s="237">
        <v>45960</v>
      </c>
      <c r="B231" s="67" t="s">
        <v>575</v>
      </c>
      <c r="C231" s="248">
        <v>101000</v>
      </c>
      <c r="D231" s="48"/>
      <c r="E231" s="239"/>
      <c r="F231" s="76"/>
      <c r="G231" s="70"/>
      <c r="H231" s="48"/>
    </row>
    <row r="232" spans="1:8" s="51" customFormat="1" ht="15.75">
      <c r="A232" s="237">
        <v>45960</v>
      </c>
      <c r="B232" s="67" t="s">
        <v>576</v>
      </c>
      <c r="C232" s="248">
        <v>80000</v>
      </c>
      <c r="D232" s="48"/>
      <c r="E232" s="239"/>
      <c r="F232" s="76"/>
      <c r="G232" s="70"/>
      <c r="H232" s="48"/>
    </row>
    <row r="233" spans="1:8" s="51" customFormat="1" ht="15.75">
      <c r="A233" s="237">
        <v>45961</v>
      </c>
      <c r="B233" s="44" t="s">
        <v>589</v>
      </c>
      <c r="C233" s="248">
        <v>110000</v>
      </c>
      <c r="D233" s="48"/>
      <c r="E233" s="239"/>
      <c r="F233" s="76"/>
      <c r="G233" s="70"/>
      <c r="H233" s="48"/>
    </row>
    <row r="234" spans="1:8" s="51" customFormat="1" ht="15.75">
      <c r="A234" s="237">
        <v>45961</v>
      </c>
      <c r="B234" s="44" t="s">
        <v>591</v>
      </c>
      <c r="C234" s="248">
        <v>51000</v>
      </c>
      <c r="D234" s="48"/>
      <c r="E234" s="239"/>
      <c r="F234" s="76"/>
      <c r="G234" s="70"/>
      <c r="H234" s="48"/>
    </row>
    <row r="235" spans="1:8" s="51" customFormat="1" ht="17.25">
      <c r="A235" s="259"/>
      <c r="B235" s="175" t="s">
        <v>35</v>
      </c>
      <c r="C235" s="249">
        <f>SUM(C196:C234)</f>
        <v>4199000</v>
      </c>
      <c r="D235" s="48"/>
      <c r="E235" s="92"/>
      <c r="F235" s="78" t="s">
        <v>35</v>
      </c>
      <c r="G235" s="79">
        <f>SUM(G196:G221)</f>
        <v>0</v>
      </c>
      <c r="H235" s="48"/>
    </row>
    <row r="236" spans="1:8" s="51" customFormat="1" ht="15.75">
      <c r="A236" s="47"/>
      <c r="B236" s="48"/>
      <c r="C236" s="47"/>
      <c r="D236" s="48"/>
      <c r="E236" s="93"/>
      <c r="F236" s="94"/>
      <c r="G236" s="95"/>
      <c r="H236" s="48"/>
    </row>
    <row r="237" spans="1:8" s="51" customFormat="1" ht="15.75">
      <c r="A237" s="47"/>
      <c r="B237" s="107" t="s">
        <v>80</v>
      </c>
      <c r="C237" s="47"/>
      <c r="D237" s="48"/>
      <c r="E237" s="53"/>
      <c r="F237" s="107" t="s">
        <v>80</v>
      </c>
      <c r="G237" s="54"/>
      <c r="H237" s="48"/>
    </row>
    <row r="238" spans="1:8" s="51" customFormat="1" ht="15.75">
      <c r="A238" s="55"/>
      <c r="B238" s="107" t="s">
        <v>48</v>
      </c>
      <c r="C238" s="47"/>
      <c r="D238" s="48"/>
      <c r="E238" s="53"/>
      <c r="F238" s="107" t="s">
        <v>49</v>
      </c>
      <c r="G238" s="54"/>
      <c r="H238" s="48"/>
    </row>
    <row r="239" spans="1:8" s="51" customFormat="1" ht="15.75">
      <c r="A239" s="107" t="s">
        <v>32</v>
      </c>
      <c r="B239" s="107" t="s">
        <v>33</v>
      </c>
      <c r="C239" s="108" t="s">
        <v>34</v>
      </c>
      <c r="D239" s="48"/>
      <c r="E239" s="107" t="s">
        <v>32</v>
      </c>
      <c r="F239" s="107" t="s">
        <v>33</v>
      </c>
      <c r="G239" s="108" t="s">
        <v>34</v>
      </c>
      <c r="H239" s="48"/>
    </row>
    <row r="240" spans="1:8" s="51" customFormat="1" ht="15.75">
      <c r="A240" s="83">
        <v>45964</v>
      </c>
      <c r="B240" s="66" t="s">
        <v>593</v>
      </c>
      <c r="C240" s="58">
        <v>110000</v>
      </c>
      <c r="D240" s="48"/>
      <c r="E240" s="89"/>
      <c r="F240" s="85"/>
      <c r="G240" s="70"/>
      <c r="H240" s="48"/>
    </row>
    <row r="241" spans="1:8" s="51" customFormat="1" ht="15.75">
      <c r="A241" s="237">
        <v>45964</v>
      </c>
      <c r="B241" s="44" t="s">
        <v>597</v>
      </c>
      <c r="C241" s="209">
        <v>60000</v>
      </c>
      <c r="D241" s="48"/>
      <c r="E241" s="89"/>
      <c r="F241" s="85"/>
      <c r="G241" s="70"/>
      <c r="H241" s="48"/>
    </row>
    <row r="242" spans="1:8" s="51" customFormat="1" ht="15.75">
      <c r="A242" s="237">
        <v>45965</v>
      </c>
      <c r="B242" s="44" t="s">
        <v>598</v>
      </c>
      <c r="C242" s="209">
        <v>80000</v>
      </c>
      <c r="D242" s="48"/>
      <c r="E242" s="89"/>
      <c r="F242" s="85"/>
      <c r="G242" s="70"/>
      <c r="H242" s="48"/>
    </row>
    <row r="243" spans="1:8" s="51" customFormat="1" ht="15.75">
      <c r="A243" s="237">
        <v>45966</v>
      </c>
      <c r="B243" s="159" t="s">
        <v>609</v>
      </c>
      <c r="C243" s="58">
        <v>110000</v>
      </c>
      <c r="D243" s="48"/>
      <c r="E243" s="74"/>
      <c r="F243" s="76"/>
      <c r="G243" s="70"/>
      <c r="H243" s="48"/>
    </row>
    <row r="244" spans="1:8" s="51" customFormat="1" ht="15.75">
      <c r="A244" s="237">
        <v>45967</v>
      </c>
      <c r="B244" s="159" t="s">
        <v>611</v>
      </c>
      <c r="C244" s="58">
        <v>100000</v>
      </c>
      <c r="D244" s="48"/>
      <c r="E244" s="74"/>
      <c r="F244" s="76"/>
      <c r="G244" s="70"/>
      <c r="H244" s="48"/>
    </row>
    <row r="245" spans="1:8" s="51" customFormat="1" ht="15.75">
      <c r="A245" s="237">
        <v>45968</v>
      </c>
      <c r="B245" s="159" t="s">
        <v>622</v>
      </c>
      <c r="C245" s="58">
        <v>80000</v>
      </c>
      <c r="D245" s="48"/>
      <c r="E245" s="74"/>
      <c r="F245" s="76"/>
      <c r="G245" s="70"/>
      <c r="H245" s="48"/>
    </row>
    <row r="246" spans="1:8" s="51" customFormat="1" ht="15.75">
      <c r="A246" s="237">
        <v>45971</v>
      </c>
      <c r="B246" s="159" t="s">
        <v>617</v>
      </c>
      <c r="C246" s="58">
        <v>130000</v>
      </c>
      <c r="D246" s="48"/>
      <c r="E246" s="74"/>
      <c r="F246" s="76"/>
      <c r="G246" s="70"/>
      <c r="H246" s="48"/>
    </row>
    <row r="247" spans="1:8" s="51" customFormat="1" ht="15.75">
      <c r="A247" s="237">
        <v>45971</v>
      </c>
      <c r="B247" s="159" t="s">
        <v>618</v>
      </c>
      <c r="C247" s="58">
        <v>70000</v>
      </c>
      <c r="D247" s="48"/>
      <c r="E247" s="74"/>
      <c r="F247" s="76"/>
      <c r="G247" s="70"/>
      <c r="H247" s="48"/>
    </row>
    <row r="248" spans="1:8" s="51" customFormat="1" ht="15.75">
      <c r="A248" s="237">
        <v>45971</v>
      </c>
      <c r="B248" s="159" t="s">
        <v>629</v>
      </c>
      <c r="C248" s="260">
        <v>70000</v>
      </c>
      <c r="D248" s="48"/>
      <c r="E248" s="74"/>
      <c r="F248" s="76"/>
      <c r="G248" s="70"/>
      <c r="H248" s="48"/>
    </row>
    <row r="249" spans="1:8" s="51" customFormat="1" ht="15.75">
      <c r="A249" s="56">
        <v>45973</v>
      </c>
      <c r="B249" s="44" t="s">
        <v>639</v>
      </c>
      <c r="C249" s="58">
        <v>90000</v>
      </c>
      <c r="D249" s="48"/>
      <c r="E249" s="74"/>
      <c r="F249" s="76"/>
      <c r="G249" s="70"/>
      <c r="H249" s="48"/>
    </row>
    <row r="250" spans="1:8" s="51" customFormat="1" ht="15.75">
      <c r="A250" s="56">
        <v>45973</v>
      </c>
      <c r="B250" s="44" t="s">
        <v>640</v>
      </c>
      <c r="C250" s="270">
        <v>190000</v>
      </c>
      <c r="D250" s="48"/>
      <c r="E250" s="74"/>
      <c r="F250" s="76"/>
      <c r="G250" s="70"/>
      <c r="H250" s="48"/>
    </row>
    <row r="251" spans="1:8" s="51" customFormat="1" ht="15.75">
      <c r="A251" s="56">
        <v>45974</v>
      </c>
      <c r="B251" s="44" t="s">
        <v>645</v>
      </c>
      <c r="C251" s="270">
        <v>260000</v>
      </c>
      <c r="D251" s="48"/>
      <c r="E251" s="74"/>
      <c r="F251" s="76"/>
      <c r="G251" s="70"/>
      <c r="H251" s="48"/>
    </row>
    <row r="252" spans="1:8" s="51" customFormat="1" ht="15.75">
      <c r="A252" s="56">
        <v>45974</v>
      </c>
      <c r="B252" s="44" t="s">
        <v>646</v>
      </c>
      <c r="C252" s="87">
        <v>100000</v>
      </c>
      <c r="D252" s="48"/>
      <c r="E252" s="74"/>
      <c r="F252" s="76"/>
      <c r="G252" s="70"/>
      <c r="H252" s="48"/>
    </row>
    <row r="253" spans="1:8" s="51" customFormat="1" ht="15.75">
      <c r="A253" s="271">
        <v>45975</v>
      </c>
      <c r="B253" s="44" t="s">
        <v>656</v>
      </c>
      <c r="C253" s="272">
        <v>170000</v>
      </c>
      <c r="D253" s="48"/>
      <c r="E253" s="74"/>
      <c r="F253" s="76"/>
      <c r="G253" s="70"/>
      <c r="H253" s="48"/>
    </row>
    <row r="254" spans="1:8" s="51" customFormat="1" ht="15.75">
      <c r="A254" s="237">
        <v>45975</v>
      </c>
      <c r="B254" s="44" t="s">
        <v>655</v>
      </c>
      <c r="C254" s="272">
        <v>150000</v>
      </c>
      <c r="D254" s="48"/>
      <c r="E254" s="74"/>
      <c r="F254" s="76"/>
      <c r="G254" s="70"/>
      <c r="H254" s="48"/>
    </row>
    <row r="255" spans="1:8" s="51" customFormat="1" ht="15.75">
      <c r="A255" s="237">
        <v>45975</v>
      </c>
      <c r="B255" s="44" t="s">
        <v>664</v>
      </c>
      <c r="C255" s="272">
        <v>100000</v>
      </c>
      <c r="D255" s="48"/>
      <c r="E255" s="74"/>
      <c r="F255" s="76"/>
      <c r="G255" s="70"/>
      <c r="H255" s="48"/>
    </row>
    <row r="256" spans="1:8" s="51" customFormat="1" ht="15.75">
      <c r="A256" s="237">
        <v>45978</v>
      </c>
      <c r="B256" s="44" t="s">
        <v>667</v>
      </c>
      <c r="C256" s="260">
        <v>70000</v>
      </c>
      <c r="D256" s="48"/>
      <c r="E256" s="74"/>
      <c r="F256" s="76"/>
      <c r="G256" s="70"/>
      <c r="H256" s="48"/>
    </row>
    <row r="257" spans="1:8" s="51" customFormat="1" ht="15.75">
      <c r="A257" s="237">
        <v>45979</v>
      </c>
      <c r="B257" s="285" t="s">
        <v>674</v>
      </c>
      <c r="C257" s="58">
        <v>190000</v>
      </c>
      <c r="D257" s="48"/>
      <c r="E257" s="74"/>
      <c r="F257" s="67"/>
      <c r="G257" s="84"/>
      <c r="H257" s="48"/>
    </row>
    <row r="258" spans="1:8" s="51" customFormat="1" ht="15.75">
      <c r="A258" s="237">
        <v>45982</v>
      </c>
      <c r="B258" s="44" t="s">
        <v>677</v>
      </c>
      <c r="C258" s="260">
        <v>70000</v>
      </c>
      <c r="D258" s="48"/>
      <c r="E258" s="74"/>
      <c r="F258" s="76"/>
      <c r="G258" s="97"/>
      <c r="H258" s="48"/>
    </row>
    <row r="259" spans="1:8" s="51" customFormat="1" ht="15.75">
      <c r="A259" s="237">
        <v>45982</v>
      </c>
      <c r="B259" s="44" t="s">
        <v>676</v>
      </c>
      <c r="C259" s="260">
        <v>70000</v>
      </c>
      <c r="D259" s="48"/>
      <c r="E259" s="89"/>
      <c r="F259" s="76"/>
      <c r="G259" s="90"/>
      <c r="H259" s="48"/>
    </row>
    <row r="260" spans="1:8" s="51" customFormat="1" ht="15.75">
      <c r="A260" s="237">
        <v>45986</v>
      </c>
      <c r="B260" s="76" t="s">
        <v>691</v>
      </c>
      <c r="C260" s="58">
        <v>140000</v>
      </c>
      <c r="D260" s="48"/>
      <c r="E260" s="74"/>
      <c r="F260" s="76"/>
      <c r="G260" s="90"/>
      <c r="H260" s="48"/>
    </row>
    <row r="261" spans="1:8" s="51" customFormat="1" ht="15.75">
      <c r="A261" s="56"/>
      <c r="B261" s="76"/>
      <c r="C261" s="58"/>
      <c r="D261" s="48"/>
      <c r="E261" s="74"/>
      <c r="F261" s="67"/>
      <c r="G261" s="70"/>
      <c r="H261" s="48"/>
    </row>
    <row r="262" spans="1:8" s="51" customFormat="1" ht="15.75">
      <c r="A262" s="56"/>
      <c r="B262" s="76"/>
      <c r="C262" s="58"/>
      <c r="D262" s="48"/>
      <c r="E262" s="74"/>
      <c r="F262" s="76"/>
      <c r="G262" s="70"/>
      <c r="H262" s="48"/>
    </row>
    <row r="263" spans="1:8" s="51" customFormat="1" ht="15.75">
      <c r="A263" s="56"/>
      <c r="B263" s="76"/>
      <c r="C263" s="58"/>
      <c r="D263" s="48"/>
      <c r="E263" s="74"/>
      <c r="F263" s="76"/>
      <c r="G263" s="70"/>
      <c r="H263" s="48"/>
    </row>
    <row r="264" spans="1:8" s="51" customFormat="1" ht="15.75">
      <c r="A264" s="56"/>
      <c r="B264" s="76"/>
      <c r="C264" s="58"/>
      <c r="D264" s="48"/>
      <c r="E264" s="74"/>
      <c r="F264" s="76"/>
      <c r="G264" s="70"/>
      <c r="H264" s="48"/>
    </row>
    <row r="265" spans="1:8" s="51" customFormat="1" ht="18.75">
      <c r="A265" s="47"/>
      <c r="B265" s="78" t="s">
        <v>35</v>
      </c>
      <c r="C265" s="284">
        <f>SUM(C240:C264)</f>
        <v>2410000</v>
      </c>
      <c r="D265" s="48"/>
      <c r="E265" s="92"/>
      <c r="F265" s="78" t="s">
        <v>35</v>
      </c>
      <c r="G265" s="79">
        <f>SUM(G240:G264)</f>
        <v>0</v>
      </c>
      <c r="H265" s="48"/>
    </row>
    <row r="266" spans="1:8" s="51" customFormat="1" ht="15.75">
      <c r="A266" s="47"/>
      <c r="B266" s="48"/>
      <c r="C266" s="47"/>
      <c r="D266" s="48"/>
      <c r="E266" s="49"/>
      <c r="F266" s="49"/>
      <c r="G266" s="50"/>
      <c r="H266" s="48"/>
    </row>
    <row r="267" spans="1:8" s="51" customFormat="1" ht="15.75">
      <c r="A267" s="47"/>
      <c r="B267" s="107" t="s">
        <v>80</v>
      </c>
      <c r="C267" s="47"/>
      <c r="D267" s="48"/>
      <c r="E267" s="53"/>
      <c r="F267" s="107" t="s">
        <v>80</v>
      </c>
      <c r="G267" s="54"/>
      <c r="H267" s="48"/>
    </row>
    <row r="268" spans="1:8" s="51" customFormat="1" ht="15.75">
      <c r="A268" s="55"/>
      <c r="B268" s="107" t="s">
        <v>50</v>
      </c>
      <c r="C268" s="47"/>
      <c r="D268" s="48"/>
      <c r="E268" s="53"/>
      <c r="F268" s="107" t="s">
        <v>49</v>
      </c>
      <c r="G268" s="54"/>
      <c r="H268" s="48"/>
    </row>
    <row r="269" spans="1:8" s="51" customFormat="1" ht="15.75">
      <c r="A269" s="107" t="s">
        <v>32</v>
      </c>
      <c r="B269" s="107" t="s">
        <v>33</v>
      </c>
      <c r="C269" s="108" t="s">
        <v>34</v>
      </c>
      <c r="D269" s="48"/>
      <c r="E269" s="107" t="s">
        <v>32</v>
      </c>
      <c r="F269" s="107" t="s">
        <v>33</v>
      </c>
      <c r="G269" s="108" t="s">
        <v>34</v>
      </c>
      <c r="H269" s="48"/>
    </row>
    <row r="270" spans="1:8" s="51" customFormat="1" ht="15.75">
      <c r="A270" s="56"/>
      <c r="B270" s="76"/>
      <c r="C270" s="58"/>
      <c r="D270" s="48"/>
      <c r="E270" s="89"/>
      <c r="F270" s="85"/>
      <c r="G270" s="70"/>
      <c r="H270" s="48"/>
    </row>
    <row r="271" spans="1:8" s="51" customFormat="1" ht="15.75">
      <c r="A271" s="56"/>
      <c r="B271" s="76"/>
      <c r="C271" s="58"/>
      <c r="D271" s="48"/>
      <c r="E271" s="89"/>
      <c r="F271" s="85"/>
      <c r="G271" s="70"/>
      <c r="H271" s="48"/>
    </row>
    <row r="272" spans="1:8" s="51" customFormat="1" ht="15.75">
      <c r="A272" s="56"/>
      <c r="B272" s="67"/>
      <c r="C272" s="61"/>
      <c r="D272" s="48"/>
      <c r="E272" s="89"/>
      <c r="F272" s="85"/>
      <c r="G272" s="70"/>
      <c r="H272" s="48"/>
    </row>
    <row r="273" spans="1:8" s="51" customFormat="1" ht="15.75">
      <c r="A273" s="56"/>
      <c r="B273" s="76"/>
      <c r="C273" s="58"/>
      <c r="D273" s="48"/>
      <c r="E273" s="74"/>
      <c r="F273" s="76"/>
      <c r="G273" s="70"/>
      <c r="H273" s="48"/>
    </row>
    <row r="274" spans="1:8" s="51" customFormat="1" ht="15.75">
      <c r="A274" s="56"/>
      <c r="B274" s="76"/>
      <c r="C274" s="58"/>
      <c r="D274" s="48"/>
      <c r="E274" s="74"/>
      <c r="F274" s="76"/>
      <c r="G274" s="70"/>
      <c r="H274" s="48"/>
    </row>
    <row r="275" spans="1:8" s="51" customFormat="1" ht="15.75">
      <c r="A275" s="56"/>
      <c r="B275" s="76"/>
      <c r="C275" s="58"/>
      <c r="D275" s="48"/>
      <c r="E275" s="74"/>
      <c r="F275" s="76"/>
      <c r="G275" s="70"/>
      <c r="H275" s="48"/>
    </row>
    <row r="276" spans="1:8" s="51" customFormat="1" ht="15.75">
      <c r="A276" s="56"/>
      <c r="B276" s="76"/>
      <c r="C276" s="58"/>
      <c r="D276" s="48"/>
      <c r="E276" s="74"/>
      <c r="F276" s="76"/>
      <c r="G276" s="70"/>
      <c r="H276" s="48"/>
    </row>
    <row r="277" spans="1:8" s="51" customFormat="1" ht="15.75">
      <c r="A277" s="56"/>
      <c r="B277" s="76"/>
      <c r="C277" s="260"/>
      <c r="D277" s="48"/>
      <c r="E277" s="74"/>
      <c r="F277" s="76"/>
      <c r="G277" s="70"/>
      <c r="H277" s="48"/>
    </row>
    <row r="278" spans="1:8" s="51" customFormat="1" ht="15.75">
      <c r="A278" s="56"/>
      <c r="B278" s="76"/>
      <c r="C278" s="58"/>
      <c r="D278" s="48"/>
      <c r="E278" s="74"/>
      <c r="F278" s="76"/>
      <c r="G278" s="70"/>
      <c r="H278" s="48"/>
    </row>
    <row r="279" spans="1:8" s="51" customFormat="1" ht="15.75">
      <c r="A279" s="83"/>
      <c r="B279" s="85"/>
      <c r="C279" s="100"/>
      <c r="D279" s="48"/>
      <c r="E279" s="74"/>
      <c r="F279" s="76"/>
      <c r="G279" s="70"/>
      <c r="H279" s="48"/>
    </row>
    <row r="280" spans="1:8" s="51" customFormat="1" ht="15.75">
      <c r="A280" s="83"/>
      <c r="B280" s="76"/>
      <c r="C280" s="87"/>
      <c r="D280" s="48"/>
      <c r="E280" s="74"/>
      <c r="F280" s="76"/>
      <c r="G280" s="70"/>
      <c r="H280" s="48"/>
    </row>
    <row r="281" spans="1:8" s="51" customFormat="1" ht="15.75">
      <c r="A281" s="56"/>
      <c r="B281" s="76"/>
      <c r="C281" s="87"/>
      <c r="D281" s="48"/>
      <c r="E281" s="74"/>
      <c r="F281" s="76"/>
      <c r="G281" s="70"/>
      <c r="H281" s="48"/>
    </row>
    <row r="282" spans="1:8" s="51" customFormat="1" ht="15.75">
      <c r="A282" s="56"/>
      <c r="B282" s="67"/>
      <c r="C282" s="58"/>
      <c r="D282" s="48"/>
      <c r="E282" s="74"/>
      <c r="F282" s="76"/>
      <c r="G282" s="70"/>
      <c r="H282" s="48"/>
    </row>
    <row r="283" spans="1:8" s="51" customFormat="1" ht="15.75">
      <c r="A283" s="56"/>
      <c r="B283" s="76"/>
      <c r="C283" s="87"/>
      <c r="D283" s="48"/>
      <c r="E283" s="74"/>
      <c r="F283" s="76"/>
      <c r="G283" s="70"/>
      <c r="H283" s="48"/>
    </row>
    <row r="284" spans="1:8" s="51" customFormat="1" ht="15.75">
      <c r="A284" s="56"/>
      <c r="B284" s="76"/>
      <c r="C284" s="87"/>
      <c r="D284" s="48"/>
      <c r="E284" s="74"/>
      <c r="F284" s="76"/>
      <c r="G284" s="70"/>
      <c r="H284" s="48"/>
    </row>
    <row r="285" spans="1:8" s="51" customFormat="1" ht="15.75">
      <c r="A285" s="56"/>
      <c r="B285" s="76"/>
      <c r="C285" s="58"/>
      <c r="D285" s="48"/>
      <c r="E285" s="74"/>
      <c r="F285" s="76"/>
      <c r="G285" s="70"/>
      <c r="H285" s="48"/>
    </row>
    <row r="286" spans="1:8" s="51" customFormat="1" ht="15.75">
      <c r="A286" s="56"/>
      <c r="B286" s="96"/>
      <c r="C286" s="58"/>
      <c r="D286" s="48"/>
      <c r="E286" s="74"/>
      <c r="F286" s="67"/>
      <c r="G286" s="84"/>
      <c r="H286" s="48"/>
    </row>
    <row r="287" spans="1:8" s="51" customFormat="1" ht="15.75">
      <c r="A287" s="56"/>
      <c r="B287" s="76"/>
      <c r="C287" s="58"/>
      <c r="D287" s="48"/>
      <c r="E287" s="74"/>
      <c r="F287" s="76"/>
      <c r="G287" s="70"/>
      <c r="H287" s="48"/>
    </row>
    <row r="288" spans="1:8" s="51" customFormat="1" ht="15.75">
      <c r="A288" s="56"/>
      <c r="B288" s="76"/>
      <c r="C288" s="58"/>
      <c r="D288" s="48"/>
      <c r="E288" s="74"/>
      <c r="F288" s="76"/>
      <c r="G288" s="70"/>
      <c r="H288" s="48"/>
    </row>
    <row r="289" spans="1:8" s="51" customFormat="1" ht="15.75">
      <c r="A289" s="56"/>
      <c r="B289" s="76"/>
      <c r="C289" s="58"/>
      <c r="D289" s="48"/>
      <c r="E289" s="74"/>
      <c r="F289" s="76"/>
      <c r="G289" s="70"/>
      <c r="H289" s="48"/>
    </row>
    <row r="290" spans="1:8" s="51" customFormat="1" ht="15.75">
      <c r="A290" s="56"/>
      <c r="B290" s="76"/>
      <c r="C290" s="58"/>
      <c r="D290" s="48"/>
      <c r="E290" s="74"/>
      <c r="F290" s="76"/>
      <c r="G290" s="70"/>
      <c r="H290" s="48"/>
    </row>
    <row r="291" spans="1:8" s="51" customFormat="1" ht="15.75">
      <c r="A291" s="56"/>
      <c r="B291" s="76"/>
      <c r="C291" s="58"/>
      <c r="D291" s="48"/>
      <c r="E291" s="74"/>
      <c r="F291" s="76"/>
      <c r="G291" s="97"/>
      <c r="H291" s="48"/>
    </row>
    <row r="292" spans="1:8" s="51" customFormat="1" ht="15.75">
      <c r="A292" s="56"/>
      <c r="B292" s="76"/>
      <c r="C292" s="58"/>
      <c r="D292" s="48"/>
      <c r="E292" s="74"/>
      <c r="F292" s="76"/>
      <c r="G292" s="70"/>
      <c r="H292" s="48"/>
    </row>
    <row r="293" spans="1:8" s="51" customFormat="1" ht="15.75">
      <c r="A293" s="56"/>
      <c r="B293" s="76"/>
      <c r="C293" s="58"/>
      <c r="D293" s="48"/>
      <c r="E293" s="89"/>
      <c r="F293" s="76"/>
      <c r="G293" s="90"/>
      <c r="H293" s="48"/>
    </row>
    <row r="294" spans="1:8" s="51" customFormat="1" ht="15.75">
      <c r="A294" s="56"/>
      <c r="B294" s="76"/>
      <c r="C294" s="58"/>
      <c r="D294" s="48"/>
      <c r="E294" s="74"/>
      <c r="F294" s="76"/>
      <c r="G294" s="90"/>
      <c r="H294" s="48"/>
    </row>
    <row r="295" spans="1:8" s="51" customFormat="1" ht="15.75">
      <c r="A295" s="56"/>
      <c r="B295" s="76"/>
      <c r="C295" s="58"/>
      <c r="D295" s="48"/>
      <c r="E295" s="74"/>
      <c r="F295" s="67"/>
      <c r="G295" s="70"/>
      <c r="H295" s="48"/>
    </row>
    <row r="296" spans="1:8" s="51" customFormat="1" ht="15.75">
      <c r="A296" s="56"/>
      <c r="B296" s="76"/>
      <c r="C296" s="58"/>
      <c r="D296" s="48"/>
      <c r="E296" s="74"/>
      <c r="F296" s="76"/>
      <c r="G296" s="70"/>
      <c r="H296" s="48"/>
    </row>
    <row r="297" spans="1:8" s="51" customFormat="1" ht="15.75">
      <c r="A297" s="56"/>
      <c r="B297" s="76"/>
      <c r="C297" s="58"/>
      <c r="D297" s="48"/>
      <c r="E297" s="74"/>
      <c r="F297" s="76"/>
      <c r="G297" s="70"/>
      <c r="H297" s="48"/>
    </row>
    <row r="298" spans="1:8" s="51" customFormat="1" ht="15.75">
      <c r="A298" s="56"/>
      <c r="B298" s="76"/>
      <c r="C298" s="58"/>
      <c r="D298" s="48"/>
      <c r="E298" s="74"/>
      <c r="F298" s="76"/>
      <c r="G298" s="70"/>
      <c r="H298" s="48"/>
    </row>
    <row r="299" spans="1:8" s="51" customFormat="1" ht="15.75">
      <c r="A299" s="47"/>
      <c r="B299" s="78" t="s">
        <v>35</v>
      </c>
      <c r="C299" s="79">
        <f>SUM(C270:C298)</f>
        <v>0</v>
      </c>
      <c r="D299" s="48"/>
      <c r="E299" s="92"/>
      <c r="F299" s="78" t="s">
        <v>35</v>
      </c>
      <c r="G299" s="79">
        <f>SUM(G270:G298)</f>
        <v>0</v>
      </c>
      <c r="H299" s="48"/>
    </row>
    <row r="300" spans="1:8" s="51" customFormat="1" ht="15.75">
      <c r="A300" s="47"/>
      <c r="B300" s="48"/>
      <c r="C300" s="47"/>
      <c r="D300" s="48"/>
      <c r="E300" s="49"/>
      <c r="F300" s="49"/>
      <c r="G300" s="50"/>
      <c r="H300" s="48"/>
    </row>
    <row r="301" spans="1:8" s="51" customFormat="1" ht="15.75">
      <c r="A301" s="47"/>
      <c r="B301" s="48"/>
      <c r="C301" s="47"/>
      <c r="D301" s="48"/>
      <c r="E301" s="49"/>
      <c r="F301" s="49"/>
      <c r="G301" s="50"/>
      <c r="H301" s="48"/>
    </row>
    <row r="302" spans="1:8" s="51" customFormat="1" ht="15.75">
      <c r="A302" s="47"/>
      <c r="B302" s="48"/>
      <c r="C302" s="47"/>
      <c r="D302" s="48"/>
      <c r="E302" s="49"/>
      <c r="F302" s="49"/>
      <c r="G302" s="50"/>
      <c r="H302" s="48"/>
    </row>
    <row r="303" spans="1:8" s="51" customFormat="1" ht="15.75">
      <c r="A303" s="47"/>
      <c r="B303" s="48"/>
      <c r="C303" s="47"/>
      <c r="D303" s="48"/>
      <c r="E303" s="49"/>
      <c r="F303" s="49"/>
      <c r="G303" s="50"/>
      <c r="H303" s="48"/>
    </row>
    <row r="304" spans="1:8" s="51" customFormat="1" ht="15.75">
      <c r="A304" s="47"/>
      <c r="B304" s="48"/>
      <c r="C304" s="47"/>
      <c r="D304" s="48"/>
      <c r="E304" s="49"/>
      <c r="F304" s="49"/>
      <c r="G304" s="50"/>
      <c r="H304" s="48"/>
    </row>
    <row r="305" spans="1:8" s="51" customFormat="1" ht="15.75">
      <c r="A305" s="47"/>
      <c r="B305" s="48"/>
      <c r="C305" s="47"/>
      <c r="D305" s="48"/>
      <c r="E305" s="49"/>
      <c r="F305" s="49"/>
      <c r="G305" s="50"/>
      <c r="H305" s="48"/>
    </row>
    <row r="306" spans="1:8" s="51" customFormat="1" ht="15.75">
      <c r="A306" s="47"/>
      <c r="B306" s="48"/>
      <c r="C306" s="47"/>
      <c r="D306" s="48"/>
      <c r="E306" s="49"/>
      <c r="F306" s="49"/>
      <c r="G306" s="50"/>
      <c r="H306" s="48"/>
    </row>
    <row r="307" spans="1:8" s="51" customFormat="1" ht="15.75">
      <c r="A307" s="47"/>
      <c r="B307" s="48"/>
      <c r="C307" s="47"/>
      <c r="D307" s="48"/>
      <c r="E307" s="49"/>
      <c r="F307" s="49"/>
      <c r="G307" s="50"/>
      <c r="H307" s="48"/>
    </row>
    <row r="308" spans="1:8" s="51" customFormat="1" ht="15.75">
      <c r="A308" s="47"/>
      <c r="B308" s="48"/>
      <c r="C308" s="47"/>
      <c r="D308" s="48"/>
      <c r="E308" s="49"/>
      <c r="F308" s="49"/>
      <c r="G308" s="50"/>
      <c r="H308" s="48"/>
    </row>
    <row r="309" spans="1:8" s="51" customFormat="1" ht="15.75">
      <c r="A309" s="47"/>
      <c r="B309" s="48"/>
      <c r="C309" s="47"/>
      <c r="D309" s="48"/>
      <c r="E309" s="49"/>
      <c r="F309" s="49"/>
      <c r="G309" s="50"/>
      <c r="H309" s="48"/>
    </row>
    <row r="310" spans="1:8" s="51" customFormat="1" ht="15.75">
      <c r="A310" s="47"/>
      <c r="B310" s="48"/>
      <c r="C310" s="47"/>
      <c r="D310" s="48"/>
      <c r="E310" s="49"/>
      <c r="F310" s="49"/>
      <c r="G310" s="50"/>
      <c r="H310" s="48"/>
    </row>
    <row r="311" spans="1:8" s="51" customFormat="1" ht="15.75">
      <c r="A311" s="47"/>
      <c r="B311" s="48"/>
      <c r="C311" s="47"/>
      <c r="D311" s="48"/>
      <c r="E311" s="49"/>
      <c r="F311" s="49"/>
      <c r="G311" s="50"/>
      <c r="H311" s="48"/>
    </row>
    <row r="312" spans="1:8" s="51" customFormat="1" ht="15.75">
      <c r="A312" s="47"/>
      <c r="B312" s="48"/>
      <c r="C312" s="47"/>
      <c r="D312" s="48"/>
      <c r="E312" s="49"/>
      <c r="F312" s="49"/>
      <c r="G312" s="50"/>
      <c r="H312" s="48"/>
    </row>
    <row r="313" spans="1:8" s="51" customFormat="1" ht="15.75">
      <c r="A313" s="47"/>
      <c r="B313" s="48"/>
      <c r="C313" s="47"/>
      <c r="D313" s="48"/>
      <c r="E313" s="49"/>
      <c r="F313" s="49"/>
      <c r="G313" s="50"/>
      <c r="H313" s="48"/>
    </row>
    <row r="314" spans="1:8" s="51" customFormat="1" ht="15.75">
      <c r="A314" s="47"/>
      <c r="B314" s="48"/>
      <c r="C314" s="47"/>
      <c r="D314" s="48"/>
      <c r="E314" s="49"/>
      <c r="F314" s="49"/>
      <c r="G314" s="50"/>
      <c r="H314" s="48"/>
    </row>
    <row r="315" spans="1:8" s="51" customFormat="1" ht="15.75">
      <c r="A315" s="47"/>
      <c r="B315" s="48"/>
      <c r="C315" s="47"/>
      <c r="D315" s="48"/>
      <c r="E315" s="49"/>
      <c r="F315" s="49"/>
      <c r="G315" s="50"/>
      <c r="H315" s="48"/>
    </row>
    <row r="316" spans="1:8" s="51" customFormat="1" ht="15.75">
      <c r="A316" s="47"/>
      <c r="B316" s="48"/>
      <c r="C316" s="47"/>
      <c r="D316" s="48"/>
      <c r="E316" s="49"/>
      <c r="F316" s="49"/>
      <c r="G316" s="50"/>
      <c r="H316" s="48"/>
    </row>
    <row r="317" spans="1:8" s="51" customFormat="1" ht="15.75">
      <c r="A317" s="47"/>
      <c r="B317" s="48"/>
      <c r="C317" s="47"/>
      <c r="D317" s="48"/>
      <c r="E317" s="49"/>
      <c r="F317" s="49"/>
      <c r="G317" s="50"/>
      <c r="H317" s="48"/>
    </row>
    <row r="318" spans="1:8" s="51" customFormat="1" ht="15.75">
      <c r="A318" s="47"/>
      <c r="B318" s="48"/>
      <c r="C318" s="47"/>
      <c r="D318" s="48"/>
      <c r="E318" s="49"/>
      <c r="F318" s="49"/>
      <c r="G318" s="50"/>
      <c r="H318" s="48"/>
    </row>
    <row r="319" spans="1:8" s="51" customFormat="1" ht="15.75">
      <c r="A319" s="47"/>
      <c r="B319" s="48"/>
      <c r="C319" s="47"/>
      <c r="D319" s="48"/>
      <c r="E319" s="49"/>
      <c r="F319" s="49"/>
      <c r="G319" s="50"/>
      <c r="H319" s="48"/>
    </row>
    <row r="320" spans="1:8" s="51" customFormat="1" ht="15.75">
      <c r="A320" s="47"/>
      <c r="B320" s="48"/>
      <c r="C320" s="47"/>
      <c r="D320" s="48"/>
      <c r="E320" s="49"/>
      <c r="F320" s="49"/>
      <c r="G320" s="50"/>
      <c r="H320" s="48"/>
    </row>
    <row r="321" spans="1:8" s="51" customFormat="1" ht="15.75">
      <c r="A321" s="47"/>
      <c r="B321" s="48"/>
      <c r="C321" s="47"/>
      <c r="D321" s="48"/>
      <c r="E321" s="49"/>
      <c r="F321" s="49"/>
      <c r="G321" s="50"/>
      <c r="H321" s="48"/>
    </row>
    <row r="322" spans="1:8" s="51" customFormat="1" ht="15.75">
      <c r="A322" s="47"/>
      <c r="B322" s="48"/>
      <c r="C322" s="47"/>
      <c r="D322" s="48"/>
      <c r="E322" s="49"/>
      <c r="F322" s="49"/>
      <c r="G322" s="50"/>
      <c r="H322" s="48"/>
    </row>
    <row r="323" spans="1:8" s="51" customFormat="1" ht="15.75">
      <c r="A323" s="47"/>
      <c r="B323" s="48"/>
      <c r="C323" s="47"/>
      <c r="D323" s="48"/>
      <c r="E323" s="49"/>
      <c r="F323" s="49"/>
      <c r="G323" s="50"/>
      <c r="H323" s="48"/>
    </row>
    <row r="324" spans="1:8" s="51" customFormat="1" ht="15.75">
      <c r="A324" s="47"/>
      <c r="B324" s="48"/>
      <c r="C324" s="47"/>
      <c r="D324" s="48"/>
      <c r="E324" s="49"/>
      <c r="F324" s="49"/>
      <c r="G324" s="50"/>
      <c r="H324" s="48"/>
    </row>
    <row r="325" spans="1:8" s="51" customFormat="1" ht="15.75">
      <c r="A325" s="47"/>
      <c r="B325" s="48"/>
      <c r="C325" s="47"/>
      <c r="D325" s="48"/>
      <c r="E325" s="49"/>
      <c r="F325" s="49"/>
      <c r="G325" s="50"/>
      <c r="H325" s="48"/>
    </row>
    <row r="326" spans="1:8" s="51" customFormat="1" ht="15.75">
      <c r="A326" s="47"/>
      <c r="B326" s="48"/>
      <c r="C326" s="47"/>
      <c r="D326" s="48"/>
      <c r="E326" s="49"/>
      <c r="F326" s="49"/>
      <c r="G326" s="50"/>
      <c r="H326" s="48"/>
    </row>
    <row r="327" spans="1:8" s="51" customFormat="1" ht="15.75">
      <c r="A327" s="47"/>
      <c r="B327" s="48"/>
      <c r="C327" s="47"/>
      <c r="D327" s="48"/>
      <c r="E327" s="49"/>
      <c r="F327" s="49"/>
      <c r="G327" s="50"/>
      <c r="H327" s="48"/>
    </row>
    <row r="328" spans="1:8" s="51" customFormat="1" ht="15.75">
      <c r="A328" s="47"/>
      <c r="B328" s="48"/>
      <c r="C328" s="47"/>
      <c r="D328" s="48"/>
      <c r="E328" s="49"/>
      <c r="F328" s="49"/>
      <c r="G328" s="50"/>
      <c r="H328" s="48"/>
    </row>
    <row r="329" spans="1:8" s="51" customFormat="1" ht="15.75">
      <c r="A329" s="47"/>
      <c r="B329" s="48"/>
      <c r="C329" s="47"/>
      <c r="D329" s="48"/>
      <c r="E329" s="49"/>
      <c r="F329" s="49"/>
      <c r="G329" s="50"/>
      <c r="H329" s="48"/>
    </row>
    <row r="330" spans="1:8" s="51" customFormat="1" ht="15.75">
      <c r="A330" s="47"/>
      <c r="B330" s="48"/>
      <c r="C330" s="47"/>
      <c r="D330" s="48"/>
      <c r="E330" s="49"/>
      <c r="F330" s="49"/>
      <c r="G330" s="50"/>
      <c r="H330" s="48"/>
    </row>
    <row r="331" spans="1:8" s="51" customFormat="1" ht="15.75">
      <c r="A331" s="47"/>
      <c r="B331" s="48"/>
      <c r="C331" s="47"/>
      <c r="D331" s="48"/>
      <c r="E331" s="49"/>
      <c r="F331" s="49"/>
      <c r="G331" s="50"/>
      <c r="H331" s="48"/>
    </row>
    <row r="332" spans="1:8" s="51" customFormat="1" ht="15.75">
      <c r="A332" s="47"/>
      <c r="B332" s="48"/>
      <c r="C332" s="47"/>
      <c r="D332" s="48"/>
      <c r="E332" s="49"/>
      <c r="F332" s="49"/>
      <c r="G332" s="50"/>
      <c r="H332" s="48"/>
    </row>
    <row r="333" spans="1:8" s="51" customFormat="1" ht="15.75">
      <c r="A333" s="47"/>
      <c r="B333" s="48"/>
      <c r="C333" s="47"/>
      <c r="D333" s="48"/>
      <c r="E333" s="49"/>
      <c r="F333" s="49"/>
      <c r="G333" s="50"/>
      <c r="H333" s="48"/>
    </row>
    <row r="334" spans="1:8" s="51" customFormat="1" ht="15.75">
      <c r="A334" s="47"/>
      <c r="B334" s="48"/>
      <c r="C334" s="47"/>
      <c r="D334" s="48"/>
      <c r="E334" s="49"/>
      <c r="F334" s="49"/>
      <c r="G334" s="50"/>
      <c r="H334" s="48"/>
    </row>
    <row r="335" spans="1:8" s="51" customFormat="1" ht="15.75">
      <c r="A335" s="47"/>
      <c r="B335" s="48"/>
      <c r="C335" s="47"/>
      <c r="D335" s="48"/>
      <c r="E335" s="49"/>
      <c r="F335" s="49"/>
      <c r="G335" s="50"/>
      <c r="H335" s="48"/>
    </row>
    <row r="336" spans="1:8" s="51" customFormat="1" ht="15.75">
      <c r="A336" s="47"/>
      <c r="B336" s="48"/>
      <c r="C336" s="47"/>
      <c r="D336" s="48"/>
      <c r="E336" s="49"/>
      <c r="F336" s="49"/>
      <c r="G336" s="50"/>
      <c r="H336" s="48"/>
    </row>
    <row r="337" spans="1:8" s="51" customFormat="1" ht="15.75">
      <c r="A337" s="47"/>
      <c r="B337" s="48"/>
      <c r="C337" s="47"/>
      <c r="D337" s="48"/>
      <c r="E337" s="49"/>
      <c r="F337" s="49"/>
      <c r="G337" s="50"/>
      <c r="H337" s="48"/>
    </row>
    <row r="338" spans="1:8" s="51" customFormat="1" ht="15.75">
      <c r="A338" s="47"/>
      <c r="B338" s="48"/>
      <c r="C338" s="47"/>
      <c r="D338" s="48"/>
      <c r="E338" s="49"/>
      <c r="F338" s="49"/>
      <c r="G338" s="50"/>
      <c r="H338" s="48"/>
    </row>
    <row r="339" spans="1:8" s="51" customFormat="1" ht="15.75">
      <c r="A339" s="47"/>
      <c r="B339" s="48"/>
      <c r="C339" s="47"/>
      <c r="D339" s="48"/>
      <c r="E339" s="49"/>
      <c r="F339" s="49"/>
      <c r="G339" s="50"/>
      <c r="H339" s="48"/>
    </row>
    <row r="340" spans="1:8" s="51" customFormat="1" ht="15.75">
      <c r="A340" s="47"/>
      <c r="B340" s="48"/>
      <c r="C340" s="47"/>
      <c r="D340" s="48"/>
      <c r="E340" s="49"/>
      <c r="F340" s="49"/>
      <c r="G340" s="50"/>
      <c r="H340" s="48"/>
    </row>
    <row r="341" spans="1:8" s="51" customFormat="1" ht="15.75">
      <c r="A341" s="47"/>
      <c r="B341" s="48"/>
      <c r="C341" s="47"/>
      <c r="D341" s="48"/>
      <c r="E341" s="49"/>
      <c r="F341" s="49"/>
      <c r="G341" s="50"/>
      <c r="H341" s="48"/>
    </row>
    <row r="342" spans="1:8" s="51" customFormat="1" ht="15.75">
      <c r="A342" s="47"/>
      <c r="B342" s="48"/>
      <c r="C342" s="47"/>
      <c r="D342" s="48"/>
      <c r="E342" s="49"/>
      <c r="F342" s="49"/>
      <c r="G342" s="50"/>
      <c r="H342" s="48"/>
    </row>
    <row r="343" spans="1:8" s="51" customFormat="1" ht="15.75">
      <c r="A343" s="47"/>
      <c r="B343" s="48"/>
      <c r="C343" s="47"/>
      <c r="D343" s="48"/>
      <c r="E343" s="49"/>
      <c r="F343" s="49"/>
      <c r="G343" s="50"/>
      <c r="H343" s="48"/>
    </row>
    <row r="344" spans="1:8" s="51" customFormat="1" ht="15.75">
      <c r="A344" s="47"/>
      <c r="B344" s="48"/>
      <c r="C344" s="47"/>
      <c r="D344" s="48"/>
      <c r="E344" s="49"/>
      <c r="F344" s="49"/>
      <c r="G344" s="50"/>
      <c r="H344" s="48"/>
    </row>
    <row r="345" spans="1:8" s="51" customFormat="1" ht="15.75">
      <c r="A345" s="47"/>
      <c r="B345" s="48"/>
      <c r="C345" s="47"/>
      <c r="D345" s="48"/>
      <c r="E345" s="49"/>
      <c r="F345" s="49"/>
      <c r="G345" s="50"/>
      <c r="H345" s="48"/>
    </row>
    <row r="346" spans="1:8" s="51" customFormat="1" ht="15.75">
      <c r="A346" s="47"/>
      <c r="B346" s="48"/>
      <c r="C346" s="47"/>
      <c r="D346" s="48"/>
      <c r="E346" s="49"/>
      <c r="F346" s="49"/>
      <c r="G346" s="50"/>
      <c r="H346" s="48"/>
    </row>
    <row r="347" spans="1:8" s="51" customFormat="1" ht="15.75">
      <c r="A347" s="47"/>
      <c r="B347" s="48"/>
      <c r="C347" s="47"/>
      <c r="D347" s="48"/>
      <c r="E347" s="49"/>
      <c r="F347" s="49"/>
      <c r="G347" s="50"/>
      <c r="H347" s="48"/>
    </row>
    <row r="348" spans="1:8" s="51" customFormat="1" ht="15.75">
      <c r="A348" s="47"/>
      <c r="B348" s="48"/>
      <c r="C348" s="47"/>
      <c r="D348" s="48"/>
      <c r="E348" s="49"/>
      <c r="F348" s="49"/>
      <c r="G348" s="50"/>
      <c r="H348" s="48"/>
    </row>
    <row r="349" spans="1:8" s="51" customFormat="1" ht="15.75">
      <c r="A349" s="47"/>
      <c r="B349" s="48"/>
      <c r="C349" s="47"/>
      <c r="D349" s="48"/>
      <c r="E349" s="49"/>
      <c r="F349" s="49"/>
      <c r="G349" s="50"/>
      <c r="H349" s="48"/>
    </row>
    <row r="350" spans="1:8" s="51" customFormat="1" ht="15.75">
      <c r="A350" s="47"/>
      <c r="B350" s="48"/>
      <c r="C350" s="47"/>
      <c r="D350" s="48"/>
      <c r="E350" s="49"/>
      <c r="F350" s="49"/>
      <c r="G350" s="50"/>
      <c r="H350" s="48"/>
    </row>
    <row r="351" spans="1:8" s="51" customFormat="1" ht="15.75">
      <c r="A351" s="47"/>
      <c r="B351" s="48"/>
      <c r="C351" s="47"/>
      <c r="D351" s="48"/>
      <c r="E351" s="49"/>
      <c r="F351" s="49"/>
      <c r="G351" s="50"/>
      <c r="H351" s="48"/>
    </row>
    <row r="352" spans="1:8" s="51" customFormat="1" ht="15.75">
      <c r="A352" s="47"/>
      <c r="B352" s="48"/>
      <c r="C352" s="47"/>
      <c r="D352" s="48"/>
      <c r="E352" s="49"/>
      <c r="F352" s="49"/>
      <c r="G352" s="50"/>
      <c r="H352" s="48"/>
    </row>
    <row r="353" spans="1:8" s="51" customFormat="1" ht="15.75">
      <c r="A353" s="47"/>
      <c r="B353" s="48"/>
      <c r="C353" s="47"/>
      <c r="D353" s="48"/>
      <c r="E353" s="49"/>
      <c r="F353" s="49"/>
      <c r="G353" s="50"/>
      <c r="H353" s="48"/>
    </row>
    <row r="354" spans="1:8" s="51" customFormat="1" ht="15.75">
      <c r="A354" s="47"/>
      <c r="B354" s="48"/>
      <c r="C354" s="47"/>
      <c r="D354" s="48"/>
      <c r="E354" s="49"/>
      <c r="F354" s="49"/>
      <c r="G354" s="50"/>
      <c r="H354" s="48"/>
    </row>
    <row r="355" spans="1:8" s="51" customFormat="1" ht="15.75">
      <c r="A355" s="47"/>
      <c r="B355" s="48"/>
      <c r="C355" s="47"/>
      <c r="D355" s="48"/>
      <c r="E355" s="49"/>
      <c r="F355" s="49"/>
      <c r="G355" s="50"/>
      <c r="H355" s="48"/>
    </row>
    <row r="356" spans="1:8" s="51" customFormat="1" ht="15.75">
      <c r="A356" s="47"/>
      <c r="B356" s="48"/>
      <c r="C356" s="47"/>
      <c r="D356" s="48"/>
      <c r="E356" s="49"/>
      <c r="F356" s="49"/>
      <c r="G356" s="50"/>
      <c r="H356" s="48"/>
    </row>
    <row r="357" spans="1:8" s="51" customFormat="1" ht="15.75">
      <c r="A357" s="47"/>
      <c r="B357" s="48"/>
      <c r="C357" s="47"/>
      <c r="D357" s="48"/>
      <c r="E357" s="49"/>
      <c r="F357" s="49"/>
      <c r="G357" s="50"/>
      <c r="H357" s="48"/>
    </row>
    <row r="358" spans="1:8" s="51" customFormat="1" ht="15.75">
      <c r="A358" s="47"/>
      <c r="B358" s="48"/>
      <c r="C358" s="47"/>
      <c r="D358" s="48"/>
      <c r="E358" s="49"/>
      <c r="F358" s="49"/>
      <c r="G358" s="50"/>
      <c r="H358" s="48"/>
    </row>
    <row r="359" spans="1:8" s="51" customFormat="1" ht="15.75">
      <c r="A359" s="47"/>
      <c r="B359" s="48"/>
      <c r="C359" s="47"/>
      <c r="D359" s="48"/>
      <c r="E359" s="49"/>
      <c r="F359" s="49"/>
      <c r="G359" s="50"/>
      <c r="H359" s="48"/>
    </row>
    <row r="360" spans="1:8" s="51" customFormat="1" ht="15.75">
      <c r="A360" s="47"/>
      <c r="B360" s="48"/>
      <c r="C360" s="47"/>
      <c r="D360" s="48"/>
      <c r="E360" s="49"/>
      <c r="F360" s="49"/>
      <c r="G360" s="50"/>
      <c r="H360" s="48"/>
    </row>
    <row r="361" spans="1:8" s="51" customFormat="1" ht="15.75">
      <c r="A361" s="47"/>
      <c r="B361" s="48"/>
      <c r="C361" s="47"/>
      <c r="D361" s="48"/>
      <c r="E361" s="49"/>
      <c r="F361" s="49"/>
      <c r="G361" s="50"/>
      <c r="H361" s="48"/>
    </row>
    <row r="362" spans="1:8" s="51" customFormat="1" ht="15.75">
      <c r="A362" s="47"/>
      <c r="B362" s="48"/>
      <c r="C362" s="47"/>
      <c r="D362" s="48"/>
      <c r="E362" s="49"/>
      <c r="F362" s="49"/>
      <c r="G362" s="50"/>
      <c r="H362" s="48"/>
    </row>
    <row r="363" spans="1:8" s="51" customFormat="1" ht="15.75">
      <c r="A363" s="47"/>
      <c r="B363" s="48"/>
      <c r="C363" s="47"/>
      <c r="D363" s="48"/>
      <c r="E363" s="49"/>
      <c r="F363" s="49"/>
      <c r="G363" s="50"/>
      <c r="H363" s="48"/>
    </row>
    <row r="364" spans="1:8" s="51" customFormat="1" ht="15.75">
      <c r="A364" s="47"/>
      <c r="B364" s="48"/>
      <c r="C364" s="47"/>
      <c r="D364" s="48"/>
      <c r="E364" s="49"/>
      <c r="F364" s="49"/>
      <c r="G364" s="50"/>
      <c r="H364" s="48"/>
    </row>
    <row r="365" spans="1:8" s="51" customFormat="1" ht="15.75">
      <c r="A365" s="47"/>
      <c r="B365" s="48"/>
      <c r="C365" s="47"/>
      <c r="D365" s="48"/>
      <c r="E365" s="49"/>
      <c r="F365" s="49"/>
      <c r="G365" s="50"/>
      <c r="H365" s="48"/>
    </row>
    <row r="366" spans="1:8" s="51" customFormat="1" ht="15.75">
      <c r="A366" s="47"/>
      <c r="B366" s="48"/>
      <c r="C366" s="47"/>
      <c r="D366" s="48"/>
      <c r="E366" s="49"/>
      <c r="F366" s="49"/>
      <c r="G366" s="50"/>
      <c r="H366" s="48"/>
    </row>
    <row r="367" spans="1:8" s="51" customFormat="1" ht="15.75">
      <c r="A367" s="47"/>
      <c r="B367" s="48"/>
      <c r="C367" s="47"/>
      <c r="D367" s="48"/>
      <c r="E367" s="49"/>
      <c r="F367" s="49"/>
      <c r="G367" s="50"/>
      <c r="H367" s="48"/>
    </row>
    <row r="368" spans="1:8" s="51" customFormat="1" ht="15.75">
      <c r="A368" s="47"/>
      <c r="B368" s="48"/>
      <c r="C368" s="47"/>
      <c r="D368" s="48"/>
      <c r="E368" s="49"/>
      <c r="F368" s="49"/>
      <c r="G368" s="50"/>
      <c r="H368" s="48"/>
    </row>
    <row r="369" spans="1:8" s="51" customFormat="1" ht="15.75">
      <c r="A369" s="47"/>
      <c r="B369" s="48"/>
      <c r="C369" s="47"/>
      <c r="D369" s="48"/>
      <c r="E369" s="49"/>
      <c r="F369" s="49"/>
      <c r="G369" s="50"/>
      <c r="H369" s="48"/>
    </row>
    <row r="370" spans="1:8" s="51" customFormat="1" ht="15.75">
      <c r="A370" s="47"/>
      <c r="B370" s="48"/>
      <c r="C370" s="47"/>
      <c r="D370" s="48"/>
      <c r="E370" s="49"/>
      <c r="F370" s="49"/>
      <c r="G370" s="50"/>
      <c r="H370" s="48"/>
    </row>
    <row r="371" spans="1:8" s="51" customFormat="1" ht="15.75">
      <c r="A371" s="47"/>
      <c r="B371" s="48"/>
      <c r="C371" s="47"/>
      <c r="D371" s="48"/>
      <c r="E371" s="49"/>
      <c r="F371" s="49"/>
      <c r="G371" s="50"/>
      <c r="H371" s="48"/>
    </row>
    <row r="372" spans="1:8" s="51" customFormat="1" ht="15.75">
      <c r="A372" s="47"/>
      <c r="B372" s="48"/>
      <c r="C372" s="47"/>
      <c r="D372" s="48"/>
      <c r="E372" s="49"/>
      <c r="F372" s="49"/>
      <c r="G372" s="50"/>
      <c r="H372" s="48"/>
    </row>
    <row r="373" spans="1:8" s="51" customFormat="1" ht="15.75">
      <c r="A373" s="47"/>
      <c r="B373" s="48"/>
      <c r="C373" s="47"/>
      <c r="D373" s="48"/>
      <c r="E373" s="49"/>
      <c r="F373" s="49"/>
      <c r="G373" s="50"/>
      <c r="H373" s="48"/>
    </row>
    <row r="374" spans="1:8" s="51" customFormat="1" ht="15.75">
      <c r="A374" s="47"/>
      <c r="B374" s="48"/>
      <c r="C374" s="47"/>
      <c r="D374" s="48"/>
      <c r="E374" s="49"/>
      <c r="F374" s="49"/>
      <c r="G374" s="50"/>
      <c r="H374" s="48"/>
    </row>
    <row r="375" spans="1:8" s="51" customFormat="1" ht="15.75">
      <c r="A375" s="47"/>
      <c r="B375" s="48"/>
      <c r="C375" s="47"/>
      <c r="D375" s="48"/>
      <c r="E375" s="49"/>
      <c r="F375" s="49"/>
      <c r="G375" s="50"/>
      <c r="H375" s="48"/>
    </row>
    <row r="376" spans="1:8" s="51" customFormat="1" ht="15.75">
      <c r="A376" s="47"/>
      <c r="B376" s="48"/>
      <c r="C376" s="47"/>
      <c r="D376" s="48"/>
      <c r="E376" s="49"/>
      <c r="F376" s="49"/>
      <c r="G376" s="50"/>
      <c r="H376" s="48"/>
    </row>
    <row r="377" spans="1:8" s="51" customFormat="1" ht="15.75">
      <c r="A377" s="47"/>
      <c r="B377" s="48"/>
      <c r="C377" s="47"/>
      <c r="D377" s="48"/>
      <c r="E377" s="49"/>
      <c r="F377" s="49"/>
      <c r="G377" s="50"/>
      <c r="H377" s="48"/>
    </row>
    <row r="378" spans="1:8" s="51" customFormat="1" ht="15.75">
      <c r="A378" s="47"/>
      <c r="B378" s="48"/>
      <c r="C378" s="47"/>
      <c r="D378" s="48"/>
      <c r="E378" s="49"/>
      <c r="F378" s="49"/>
      <c r="G378" s="50"/>
      <c r="H378" s="48"/>
    </row>
    <row r="379" spans="1:8" s="51" customFormat="1" ht="15.75">
      <c r="A379" s="47"/>
      <c r="B379" s="48"/>
      <c r="C379" s="47"/>
      <c r="D379" s="48"/>
      <c r="E379" s="49"/>
      <c r="F379" s="49"/>
      <c r="G379" s="50"/>
      <c r="H379" s="48"/>
    </row>
    <row r="380" spans="1:8" s="51" customFormat="1" ht="15.75">
      <c r="A380" s="47"/>
      <c r="B380" s="48"/>
      <c r="C380" s="47"/>
      <c r="D380" s="48"/>
      <c r="E380" s="49"/>
      <c r="F380" s="49"/>
      <c r="G380" s="50"/>
      <c r="H380" s="48"/>
    </row>
    <row r="381" spans="1:8" s="51" customFormat="1" ht="15.75">
      <c r="A381" s="47"/>
      <c r="B381" s="48"/>
      <c r="C381" s="47"/>
      <c r="D381" s="48"/>
      <c r="E381" s="49"/>
      <c r="F381" s="49"/>
      <c r="G381" s="50"/>
      <c r="H381" s="48"/>
    </row>
    <row r="382" spans="1:8" s="51" customFormat="1" ht="15.75">
      <c r="A382" s="47"/>
      <c r="B382" s="48"/>
      <c r="C382" s="47"/>
      <c r="D382" s="48"/>
      <c r="E382" s="49"/>
      <c r="F382" s="49"/>
      <c r="G382" s="50"/>
      <c r="H382" s="48"/>
    </row>
    <row r="383" spans="1:8" s="51" customFormat="1" ht="15.75">
      <c r="A383" s="47"/>
      <c r="B383" s="48"/>
      <c r="C383" s="47"/>
      <c r="D383" s="48"/>
      <c r="E383" s="49"/>
      <c r="F383" s="49"/>
      <c r="G383" s="50"/>
      <c r="H383" s="48"/>
    </row>
    <row r="384" spans="1:8" s="51" customFormat="1" ht="15.75">
      <c r="A384" s="47"/>
      <c r="B384" s="48"/>
      <c r="C384" s="47"/>
      <c r="D384" s="48"/>
      <c r="E384" s="49"/>
      <c r="F384" s="49"/>
      <c r="G384" s="50"/>
      <c r="H384" s="48"/>
    </row>
    <row r="385" spans="1:8" s="51" customFormat="1" ht="15.75">
      <c r="A385" s="47"/>
      <c r="B385" s="48"/>
      <c r="C385" s="47"/>
      <c r="D385" s="48"/>
      <c r="E385" s="49"/>
      <c r="F385" s="49"/>
      <c r="G385" s="50"/>
      <c r="H385" s="48"/>
    </row>
    <row r="386" spans="1:8" s="51" customFormat="1" ht="15.75">
      <c r="A386" s="47"/>
      <c r="B386" s="48"/>
      <c r="C386" s="47"/>
      <c r="D386" s="48"/>
      <c r="E386" s="49"/>
      <c r="F386" s="49"/>
      <c r="G386" s="50"/>
      <c r="H386" s="48"/>
    </row>
    <row r="387" spans="1:8" s="51" customFormat="1" ht="15.75">
      <c r="A387" s="47"/>
      <c r="B387" s="48"/>
      <c r="C387" s="47"/>
      <c r="D387" s="48"/>
      <c r="E387" s="49"/>
      <c r="F387" s="49"/>
      <c r="G387" s="50"/>
      <c r="H387" s="48"/>
    </row>
    <row r="388" spans="1:8" s="51" customFormat="1" ht="15.75">
      <c r="A388" s="47"/>
      <c r="B388" s="48"/>
      <c r="C388" s="47"/>
      <c r="D388" s="48"/>
      <c r="E388" s="49"/>
      <c r="F388" s="49"/>
      <c r="G388" s="50"/>
      <c r="H388" s="48"/>
    </row>
    <row r="389" spans="1:8" s="51" customFormat="1" ht="15.75">
      <c r="A389" s="47"/>
      <c r="B389" s="48"/>
      <c r="C389" s="47"/>
      <c r="D389" s="48"/>
      <c r="E389" s="49"/>
      <c r="F389" s="49"/>
      <c r="G389" s="50"/>
      <c r="H389" s="48"/>
    </row>
    <row r="390" spans="1:8" s="51" customFormat="1" ht="15.75">
      <c r="A390" s="47"/>
      <c r="B390" s="48"/>
      <c r="C390" s="47"/>
      <c r="D390" s="48"/>
      <c r="E390" s="49"/>
      <c r="F390" s="49"/>
      <c r="G390" s="50"/>
      <c r="H390" s="48"/>
    </row>
    <row r="391" spans="1:8" s="51" customFormat="1" ht="15.75">
      <c r="A391" s="47"/>
      <c r="B391" s="48"/>
      <c r="C391" s="47"/>
      <c r="D391" s="48"/>
      <c r="E391" s="49"/>
      <c r="F391" s="49"/>
      <c r="G391" s="50"/>
      <c r="H391" s="48"/>
    </row>
    <row r="392" spans="1:8" s="51" customFormat="1" ht="15.75">
      <c r="A392" s="47"/>
      <c r="B392" s="48"/>
      <c r="C392" s="47"/>
      <c r="D392" s="48"/>
      <c r="E392" s="49"/>
      <c r="F392" s="49"/>
      <c r="G392" s="50"/>
      <c r="H392" s="48"/>
    </row>
    <row r="393" spans="1:8" s="51" customFormat="1" ht="15.75">
      <c r="A393" s="47"/>
      <c r="B393" s="48"/>
      <c r="C393" s="47"/>
      <c r="D393" s="48"/>
      <c r="E393" s="49"/>
      <c r="F393" s="49"/>
      <c r="G393" s="50"/>
      <c r="H393" s="48"/>
    </row>
    <row r="394" spans="1:8" s="51" customFormat="1" ht="15.75">
      <c r="A394" s="47"/>
      <c r="B394" s="48"/>
      <c r="C394" s="47"/>
      <c r="D394" s="48"/>
      <c r="E394" s="49"/>
      <c r="F394" s="49"/>
      <c r="G394" s="50"/>
      <c r="H394" s="48"/>
    </row>
    <row r="395" spans="1:8" s="51" customFormat="1" ht="15.75">
      <c r="A395" s="47"/>
      <c r="B395" s="48"/>
      <c r="C395" s="47"/>
      <c r="D395" s="48"/>
      <c r="E395" s="49"/>
      <c r="F395" s="49"/>
      <c r="G395" s="50"/>
      <c r="H395" s="48"/>
    </row>
    <row r="396" spans="1:8" s="51" customFormat="1" ht="15.75">
      <c r="A396" s="47"/>
      <c r="B396" s="48"/>
      <c r="C396" s="47"/>
      <c r="D396" s="48"/>
      <c r="E396" s="49"/>
      <c r="F396" s="49"/>
      <c r="G396" s="50"/>
      <c r="H396" s="48"/>
    </row>
    <row r="397" spans="1:8" s="51" customFormat="1" ht="15.75">
      <c r="A397" s="47"/>
      <c r="B397" s="48"/>
      <c r="C397" s="47"/>
      <c r="D397" s="48"/>
      <c r="E397" s="49"/>
      <c r="F397" s="49"/>
      <c r="G397" s="50"/>
      <c r="H397" s="48"/>
    </row>
    <row r="398" spans="1:8" s="51" customFormat="1" ht="15.75">
      <c r="A398" s="47"/>
      <c r="B398" s="48"/>
      <c r="C398" s="47"/>
      <c r="D398" s="48"/>
      <c r="E398" s="49"/>
      <c r="F398" s="49"/>
      <c r="G398" s="50"/>
      <c r="H398" s="48"/>
    </row>
    <row r="399" spans="1:8" s="51" customFormat="1" ht="15.75">
      <c r="A399" s="47"/>
      <c r="B399" s="48"/>
      <c r="C399" s="47"/>
      <c r="D399" s="48"/>
      <c r="E399" s="49"/>
      <c r="F399" s="49"/>
      <c r="G399" s="50"/>
      <c r="H399" s="48"/>
    </row>
    <row r="400" spans="1:8" s="51" customFormat="1" ht="15.75">
      <c r="A400" s="47"/>
      <c r="B400" s="48"/>
      <c r="C400" s="47"/>
      <c r="D400" s="48"/>
      <c r="E400" s="49"/>
      <c r="F400" s="49"/>
      <c r="G400" s="50"/>
      <c r="H400" s="48"/>
    </row>
    <row r="401" spans="1:8" s="51" customFormat="1" ht="15.75">
      <c r="A401" s="47"/>
      <c r="B401" s="48"/>
      <c r="C401" s="47"/>
      <c r="D401" s="48"/>
      <c r="E401" s="49"/>
      <c r="F401" s="49"/>
      <c r="G401" s="50"/>
      <c r="H401" s="48"/>
    </row>
  </sheetData>
  <mergeCells count="3">
    <mergeCell ref="B3:C3"/>
    <mergeCell ref="B4:C4"/>
    <mergeCell ref="B5:C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16D5-767A-419D-908A-F39B906FC01A}">
  <dimension ref="A1:AD144"/>
  <sheetViews>
    <sheetView topLeftCell="A76" workbookViewId="0">
      <selection activeCell="A96" sqref="A96:E97"/>
    </sheetView>
  </sheetViews>
  <sheetFormatPr defaultRowHeight="15"/>
  <cols>
    <col min="1" max="1" width="15.5703125" bestFit="1" customWidth="1"/>
    <col min="2" max="2" width="10.7109375" bestFit="1" customWidth="1"/>
    <col min="3" max="3" width="53.5703125" bestFit="1" customWidth="1"/>
    <col min="4" max="4" width="10.7109375" bestFit="1" customWidth="1"/>
  </cols>
  <sheetData>
    <row r="1" spans="1:24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</row>
    <row r="2" spans="1:24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</row>
    <row r="3" spans="1:24" ht="15.75">
      <c r="A3" s="297" t="s">
        <v>323</v>
      </c>
      <c r="B3" s="298"/>
      <c r="C3" s="64">
        <v>45910</v>
      </c>
      <c r="D3" s="177"/>
      <c r="E3" s="59"/>
      <c r="F3" s="178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</row>
    <row r="4" spans="1:24" ht="15.75">
      <c r="A4" s="179" t="s">
        <v>10</v>
      </c>
      <c r="B4" s="179" t="s">
        <v>153</v>
      </c>
      <c r="C4" s="179" t="s">
        <v>33</v>
      </c>
      <c r="D4" s="180" t="s">
        <v>324</v>
      </c>
      <c r="E4" s="179" t="s">
        <v>325</v>
      </c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</row>
    <row r="5" spans="1:24" ht="15.75">
      <c r="A5" s="41" t="s">
        <v>93</v>
      </c>
      <c r="B5" s="41" t="s">
        <v>103</v>
      </c>
      <c r="C5" s="183" t="s">
        <v>91</v>
      </c>
      <c r="D5" s="37" t="s">
        <v>25</v>
      </c>
      <c r="E5" s="110">
        <v>17308</v>
      </c>
      <c r="F5" s="181" t="s">
        <v>358</v>
      </c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ht="15.75">
      <c r="A6" s="41" t="s">
        <v>95</v>
      </c>
      <c r="B6" s="41" t="s">
        <v>98</v>
      </c>
      <c r="C6" s="44" t="s">
        <v>356</v>
      </c>
      <c r="D6" s="37" t="s">
        <v>25</v>
      </c>
      <c r="E6" s="110">
        <v>17308</v>
      </c>
      <c r="F6" s="181" t="s">
        <v>358</v>
      </c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ht="15.75">
      <c r="A7" s="41" t="s">
        <v>100</v>
      </c>
      <c r="B7" s="41" t="s">
        <v>105</v>
      </c>
      <c r="C7" s="44" t="s">
        <v>357</v>
      </c>
      <c r="D7" s="37" t="s">
        <v>25</v>
      </c>
      <c r="E7" s="110">
        <v>17308</v>
      </c>
      <c r="F7" s="181" t="s">
        <v>358</v>
      </c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</row>
    <row r="8" spans="1:24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</row>
    <row r="9" spans="1:24" ht="15.75">
      <c r="A9" s="297" t="s">
        <v>323</v>
      </c>
      <c r="B9" s="298"/>
      <c r="C9" s="64">
        <v>45915</v>
      </c>
      <c r="D9" s="177"/>
      <c r="E9" s="59"/>
      <c r="F9" s="178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</row>
    <row r="10" spans="1:24" ht="15.75">
      <c r="A10" s="179" t="s">
        <v>10</v>
      </c>
      <c r="B10" s="179" t="s">
        <v>153</v>
      </c>
      <c r="C10" s="179" t="s">
        <v>33</v>
      </c>
      <c r="D10" s="180" t="s">
        <v>324</v>
      </c>
      <c r="E10" s="179" t="s">
        <v>325</v>
      </c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</row>
    <row r="11" spans="1:24" ht="15.75">
      <c r="A11" s="41" t="s">
        <v>92</v>
      </c>
      <c r="B11" s="41" t="s">
        <v>96</v>
      </c>
      <c r="C11" s="183" t="s">
        <v>90</v>
      </c>
      <c r="D11" s="217"/>
      <c r="E11" s="110">
        <v>17308</v>
      </c>
      <c r="F11" s="181" t="s">
        <v>358</v>
      </c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</row>
    <row r="12" spans="1:24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</row>
    <row r="13" spans="1:24" ht="15.75">
      <c r="A13" s="297" t="s">
        <v>323</v>
      </c>
      <c r="B13" s="298"/>
      <c r="C13" s="64">
        <v>45916</v>
      </c>
      <c r="D13" s="177"/>
      <c r="E13" s="59"/>
      <c r="F13" s="178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</row>
    <row r="14" spans="1:24" ht="15.75">
      <c r="A14" s="179" t="s">
        <v>10</v>
      </c>
      <c r="B14" s="179" t="s">
        <v>153</v>
      </c>
      <c r="C14" s="179" t="s">
        <v>33</v>
      </c>
      <c r="D14" s="180" t="s">
        <v>324</v>
      </c>
      <c r="E14" s="179" t="s">
        <v>325</v>
      </c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</row>
    <row r="15" spans="1:24" ht="15.75">
      <c r="A15" s="41" t="s">
        <v>77</v>
      </c>
      <c r="B15" s="41" t="s">
        <v>87</v>
      </c>
      <c r="C15" s="183" t="s">
        <v>76</v>
      </c>
      <c r="D15" s="217"/>
      <c r="E15" s="110">
        <v>17308</v>
      </c>
      <c r="F15" s="253" t="s">
        <v>607</v>
      </c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</row>
    <row r="16" spans="1:24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</row>
    <row r="17" spans="1:30" ht="15.75">
      <c r="A17" s="297" t="s">
        <v>323</v>
      </c>
      <c r="B17" s="298"/>
      <c r="C17" s="64">
        <v>45901</v>
      </c>
      <c r="D17" s="177"/>
      <c r="E17" s="59"/>
      <c r="F17" s="178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</row>
    <row r="18" spans="1:30" ht="15.75">
      <c r="A18" s="179" t="s">
        <v>10</v>
      </c>
      <c r="B18" s="179" t="s">
        <v>153</v>
      </c>
      <c r="C18" s="179" t="s">
        <v>33</v>
      </c>
      <c r="D18" s="180" t="s">
        <v>324</v>
      </c>
      <c r="E18" s="179" t="s">
        <v>325</v>
      </c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</row>
    <row r="19" spans="1:30" ht="15.75">
      <c r="A19" s="122" t="s">
        <v>165</v>
      </c>
      <c r="B19" s="122" t="s">
        <v>171</v>
      </c>
      <c r="C19" s="66" t="s">
        <v>176</v>
      </c>
      <c r="D19" s="217"/>
      <c r="E19" s="110">
        <v>17308</v>
      </c>
      <c r="F19" s="253" t="s">
        <v>607</v>
      </c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</row>
    <row r="20" spans="1:30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</row>
    <row r="21" spans="1:30" ht="15.75">
      <c r="A21" s="297" t="s">
        <v>323</v>
      </c>
      <c r="B21" s="298"/>
      <c r="C21" s="64" t="s">
        <v>459</v>
      </c>
      <c r="D21" s="177"/>
      <c r="E21" s="59"/>
      <c r="F21" s="178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</row>
    <row r="22" spans="1:30" ht="15.75">
      <c r="A22" s="179" t="s">
        <v>10</v>
      </c>
      <c r="B22" s="179" t="s">
        <v>153</v>
      </c>
      <c r="C22" s="179" t="s">
        <v>33</v>
      </c>
      <c r="D22" s="180" t="s">
        <v>324</v>
      </c>
      <c r="E22" s="179" t="s">
        <v>325</v>
      </c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</row>
    <row r="23" spans="1:30" ht="15.75">
      <c r="A23" s="121" t="s">
        <v>111</v>
      </c>
      <c r="B23" s="122" t="s">
        <v>120</v>
      </c>
      <c r="C23" s="66" t="s">
        <v>116</v>
      </c>
      <c r="D23" s="37" t="s">
        <v>25</v>
      </c>
      <c r="E23" s="110">
        <v>17308</v>
      </c>
      <c r="F23" s="181" t="s">
        <v>469</v>
      </c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</row>
    <row r="24" spans="1:30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</row>
    <row r="25" spans="1:30" ht="15.75">
      <c r="A25" s="297" t="s">
        <v>323</v>
      </c>
      <c r="B25" s="298"/>
      <c r="C25" s="64" t="s">
        <v>459</v>
      </c>
      <c r="D25" s="177"/>
      <c r="E25" s="59"/>
      <c r="F25" s="178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</row>
    <row r="26" spans="1:30" ht="15.75">
      <c r="A26" s="179" t="s">
        <v>10</v>
      </c>
      <c r="B26" s="179" t="s">
        <v>153</v>
      </c>
      <c r="C26" s="179" t="s">
        <v>33</v>
      </c>
      <c r="D26" s="180" t="s">
        <v>324</v>
      </c>
      <c r="E26" s="179" t="s">
        <v>325</v>
      </c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</row>
    <row r="27" spans="1:30" ht="15.75">
      <c r="A27" s="122" t="s">
        <v>156</v>
      </c>
      <c r="B27" s="122" t="s">
        <v>160</v>
      </c>
      <c r="C27" s="66" t="s">
        <v>173</v>
      </c>
      <c r="D27" s="37" t="s">
        <v>25</v>
      </c>
      <c r="E27" s="110">
        <v>17308</v>
      </c>
      <c r="F27" s="181" t="s">
        <v>469</v>
      </c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</row>
    <row r="28" spans="1:30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</row>
    <row r="29" spans="1:30" ht="15.75">
      <c r="A29" s="297" t="s">
        <v>323</v>
      </c>
      <c r="B29" s="298"/>
      <c r="C29" s="64" t="s">
        <v>470</v>
      </c>
      <c r="D29" s="177"/>
      <c r="E29" s="59"/>
      <c r="F29" s="178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</row>
    <row r="30" spans="1:30" ht="15.75">
      <c r="A30" s="179" t="s">
        <v>10</v>
      </c>
      <c r="B30" s="179" t="s">
        <v>153</v>
      </c>
      <c r="C30" s="179" t="s">
        <v>33</v>
      </c>
      <c r="D30" s="180" t="s">
        <v>324</v>
      </c>
      <c r="E30" s="179" t="s">
        <v>325</v>
      </c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</row>
    <row r="31" spans="1:30" ht="15.75">
      <c r="A31" s="122" t="s">
        <v>140</v>
      </c>
      <c r="B31" s="122" t="s">
        <v>145</v>
      </c>
      <c r="C31" s="66" t="s">
        <v>138</v>
      </c>
      <c r="D31" s="37" t="s">
        <v>25</v>
      </c>
      <c r="E31" s="110">
        <v>17308</v>
      </c>
      <c r="F31" s="181" t="s">
        <v>469</v>
      </c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</row>
    <row r="32" spans="1:30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</row>
    <row r="33" spans="1:30" ht="15.75">
      <c r="A33" s="297" t="s">
        <v>323</v>
      </c>
      <c r="B33" s="298"/>
      <c r="C33" s="64" t="s">
        <v>519</v>
      </c>
      <c r="D33" s="177"/>
      <c r="E33" s="59"/>
      <c r="F33" s="178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</row>
    <row r="34" spans="1:30" ht="15.75">
      <c r="A34" s="179" t="s">
        <v>10</v>
      </c>
      <c r="B34" s="179" t="s">
        <v>153</v>
      </c>
      <c r="C34" s="179" t="s">
        <v>33</v>
      </c>
      <c r="D34" s="180" t="s">
        <v>324</v>
      </c>
      <c r="E34" s="179" t="s">
        <v>325</v>
      </c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</row>
    <row r="35" spans="1:30" ht="15.75">
      <c r="A35" s="122" t="s">
        <v>164</v>
      </c>
      <c r="B35" s="122" t="s">
        <v>170</v>
      </c>
      <c r="C35" s="63" t="s">
        <v>511</v>
      </c>
      <c r="D35" s="37" t="s">
        <v>25</v>
      </c>
      <c r="E35" s="110">
        <v>17308</v>
      </c>
      <c r="F35" s="253" t="s">
        <v>607</v>
      </c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</row>
    <row r="36" spans="1:30" ht="15.75">
      <c r="A36" s="122" t="s">
        <v>140</v>
      </c>
      <c r="B36" s="122" t="s">
        <v>145</v>
      </c>
      <c r="C36" s="66" t="s">
        <v>138</v>
      </c>
      <c r="D36" s="37" t="s">
        <v>25</v>
      </c>
      <c r="E36" s="110">
        <v>17308</v>
      </c>
      <c r="F36" s="253" t="s">
        <v>607</v>
      </c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</row>
    <row r="37" spans="1:30" ht="15.75">
      <c r="A37" s="122" t="s">
        <v>156</v>
      </c>
      <c r="B37" s="122" t="s">
        <v>160</v>
      </c>
      <c r="C37" s="66" t="s">
        <v>173</v>
      </c>
      <c r="D37" s="37" t="s">
        <v>25</v>
      </c>
      <c r="E37" s="110">
        <v>17308</v>
      </c>
      <c r="F37" s="253" t="s">
        <v>607</v>
      </c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</row>
    <row r="38" spans="1:30" ht="15.75">
      <c r="A38" s="122" t="s">
        <v>168</v>
      </c>
      <c r="B38" s="122" t="s">
        <v>180</v>
      </c>
      <c r="C38" s="228" t="s">
        <v>167</v>
      </c>
      <c r="D38" s="37" t="s">
        <v>25</v>
      </c>
      <c r="E38" s="110">
        <v>17308</v>
      </c>
      <c r="F38" s="253" t="s">
        <v>607</v>
      </c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</row>
    <row r="39" spans="1:30" ht="15.75">
      <c r="A39" s="122" t="s">
        <v>150</v>
      </c>
      <c r="B39" s="122" t="s">
        <v>157</v>
      </c>
      <c r="C39" s="66" t="s">
        <v>149</v>
      </c>
      <c r="D39" s="37" t="s">
        <v>25</v>
      </c>
      <c r="E39" s="110">
        <v>17308</v>
      </c>
      <c r="F39" s="253" t="s">
        <v>607</v>
      </c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</row>
    <row r="40" spans="1:30" ht="15.75">
      <c r="A40" s="122" t="s">
        <v>139</v>
      </c>
      <c r="B40" s="122" t="s">
        <v>146</v>
      </c>
      <c r="C40" s="66" t="s">
        <v>142</v>
      </c>
      <c r="D40" s="37" t="s">
        <v>25</v>
      </c>
      <c r="E40" s="110">
        <v>17308</v>
      </c>
      <c r="F40" s="253" t="s">
        <v>607</v>
      </c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</row>
    <row r="41" spans="1:30" ht="15.75">
      <c r="A41" s="41" t="s">
        <v>113</v>
      </c>
      <c r="B41" s="122" t="s">
        <v>121</v>
      </c>
      <c r="C41" s="66" t="s">
        <v>240</v>
      </c>
      <c r="D41" s="37" t="s">
        <v>25</v>
      </c>
      <c r="E41" s="110">
        <v>17308</v>
      </c>
      <c r="F41" s="253" t="s">
        <v>607</v>
      </c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</row>
    <row r="42" spans="1:30" ht="15.75">
      <c r="A42" s="41" t="s">
        <v>107</v>
      </c>
      <c r="B42" s="122" t="s">
        <v>109</v>
      </c>
      <c r="C42" s="66" t="s">
        <v>115</v>
      </c>
      <c r="D42" s="37" t="s">
        <v>25</v>
      </c>
      <c r="E42" s="110">
        <v>17308</v>
      </c>
      <c r="F42" s="253" t="s">
        <v>607</v>
      </c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</row>
    <row r="43" spans="1:30" ht="15.75">
      <c r="A43" s="41" t="s">
        <v>513</v>
      </c>
      <c r="B43" s="41" t="s">
        <v>514</v>
      </c>
      <c r="C43" s="185" t="s">
        <v>512</v>
      </c>
      <c r="D43" s="37" t="s">
        <v>25</v>
      </c>
      <c r="E43" s="110">
        <v>17308</v>
      </c>
      <c r="F43" s="253" t="s">
        <v>607</v>
      </c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</row>
    <row r="44" spans="1:30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</row>
    <row r="45" spans="1:30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</row>
    <row r="46" spans="1:30" ht="15.75">
      <c r="A46" s="297" t="s">
        <v>323</v>
      </c>
      <c r="B46" s="298"/>
      <c r="C46" s="64" t="s">
        <v>519</v>
      </c>
      <c r="D46" s="177"/>
      <c r="E46" s="59"/>
      <c r="F46" s="178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</row>
    <row r="47" spans="1:30" ht="15.75">
      <c r="A47" s="179" t="s">
        <v>10</v>
      </c>
      <c r="B47" s="179" t="s">
        <v>153</v>
      </c>
      <c r="C47" s="179" t="s">
        <v>33</v>
      </c>
      <c r="D47" s="180" t="s">
        <v>324</v>
      </c>
      <c r="E47" s="179" t="s">
        <v>325</v>
      </c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</row>
    <row r="48" spans="1:30" ht="15.75">
      <c r="A48" s="122" t="s">
        <v>126</v>
      </c>
      <c r="B48" s="122" t="s">
        <v>129</v>
      </c>
      <c r="C48" s="63" t="s">
        <v>125</v>
      </c>
      <c r="D48" s="37" t="s">
        <v>25</v>
      </c>
      <c r="E48" s="110">
        <v>17308</v>
      </c>
      <c r="F48" s="253" t="s">
        <v>607</v>
      </c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</row>
    <row r="49" spans="1:30" ht="15.75">
      <c r="A49" s="122" t="s">
        <v>131</v>
      </c>
      <c r="B49" s="122" t="s">
        <v>133</v>
      </c>
      <c r="C49" s="205" t="s">
        <v>538</v>
      </c>
      <c r="D49" s="37" t="s">
        <v>25</v>
      </c>
      <c r="E49" s="110">
        <v>17308</v>
      </c>
      <c r="F49" s="253" t="s">
        <v>607</v>
      </c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</row>
    <row r="50" spans="1:30" ht="15.75">
      <c r="A50" s="122" t="s">
        <v>132</v>
      </c>
      <c r="B50" s="122" t="s">
        <v>144</v>
      </c>
      <c r="C50" s="205" t="s">
        <v>136</v>
      </c>
      <c r="D50" s="37" t="s">
        <v>25</v>
      </c>
      <c r="E50" s="110">
        <v>17308</v>
      </c>
      <c r="F50" s="253" t="s">
        <v>607</v>
      </c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</row>
    <row r="51" spans="1:30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</row>
    <row r="52" spans="1:30" ht="15.75">
      <c r="A52" s="297" t="s">
        <v>323</v>
      </c>
      <c r="B52" s="298"/>
      <c r="C52" s="64">
        <v>45964</v>
      </c>
      <c r="D52" s="177"/>
      <c r="E52" s="59"/>
      <c r="F52" s="178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</row>
    <row r="53" spans="1:30" ht="15.75">
      <c r="A53" s="179" t="s">
        <v>10</v>
      </c>
      <c r="B53" s="179" t="s">
        <v>153</v>
      </c>
      <c r="C53" s="179" t="s">
        <v>33</v>
      </c>
      <c r="D53" s="180" t="s">
        <v>324</v>
      </c>
      <c r="E53" s="179" t="s">
        <v>325</v>
      </c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</row>
    <row r="54" spans="1:30" ht="15.75">
      <c r="A54" s="122" t="s">
        <v>247</v>
      </c>
      <c r="B54" s="122" t="s">
        <v>250</v>
      </c>
      <c r="C54" s="63" t="s">
        <v>245</v>
      </c>
      <c r="D54" s="37" t="s">
        <v>25</v>
      </c>
      <c r="E54" s="110">
        <v>17308</v>
      </c>
      <c r="F54" s="253" t="s">
        <v>607</v>
      </c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</row>
    <row r="55" spans="1:30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</row>
    <row r="56" spans="1:30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</row>
    <row r="57" spans="1:30" ht="15.75">
      <c r="A57" s="297" t="s">
        <v>323</v>
      </c>
      <c r="B57" s="298"/>
      <c r="C57" s="64">
        <v>45966</v>
      </c>
      <c r="D57" s="177"/>
      <c r="E57" s="59"/>
      <c r="F57" s="178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</row>
    <row r="58" spans="1:30" ht="15.75">
      <c r="A58" s="179" t="s">
        <v>10</v>
      </c>
      <c r="B58" s="179" t="s">
        <v>153</v>
      </c>
      <c r="C58" s="179" t="s">
        <v>33</v>
      </c>
      <c r="D58" s="180" t="s">
        <v>324</v>
      </c>
      <c r="E58" s="179" t="s">
        <v>325</v>
      </c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</row>
    <row r="59" spans="1:30" ht="15.75">
      <c r="A59" s="122" t="s">
        <v>192</v>
      </c>
      <c r="B59" s="122" t="s">
        <v>195</v>
      </c>
      <c r="C59" s="254" t="s">
        <v>191</v>
      </c>
      <c r="D59" s="37" t="s">
        <v>25</v>
      </c>
      <c r="E59" s="110">
        <v>17308</v>
      </c>
      <c r="F59" s="253" t="s">
        <v>607</v>
      </c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</row>
    <row r="60" spans="1:30" ht="15.75">
      <c r="A60" s="122" t="s">
        <v>239</v>
      </c>
      <c r="B60" s="122" t="s">
        <v>249</v>
      </c>
      <c r="C60" s="166" t="s">
        <v>268</v>
      </c>
      <c r="D60" s="37" t="s">
        <v>25</v>
      </c>
      <c r="E60" s="110">
        <v>17308</v>
      </c>
      <c r="F60" s="253" t="s">
        <v>607</v>
      </c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</row>
    <row r="61" spans="1:30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</row>
    <row r="62" spans="1:30" ht="15.75">
      <c r="A62" s="297" t="s">
        <v>323</v>
      </c>
      <c r="B62" s="298"/>
      <c r="C62" s="64">
        <v>45968</v>
      </c>
      <c r="D62" s="177"/>
      <c r="E62" s="59"/>
      <c r="F62" s="178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</row>
    <row r="63" spans="1:30" ht="15.75">
      <c r="A63" s="179" t="s">
        <v>10</v>
      </c>
      <c r="B63" s="179" t="s">
        <v>153</v>
      </c>
      <c r="C63" s="179" t="s">
        <v>33</v>
      </c>
      <c r="D63" s="180" t="s">
        <v>324</v>
      </c>
      <c r="E63" s="179" t="s">
        <v>325</v>
      </c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</row>
    <row r="64" spans="1:30" ht="15.75">
      <c r="A64" s="122" t="s">
        <v>190</v>
      </c>
      <c r="B64" s="122" t="s">
        <v>193</v>
      </c>
      <c r="C64" s="254" t="s">
        <v>189</v>
      </c>
      <c r="D64" s="37" t="s">
        <v>25</v>
      </c>
      <c r="E64" s="110">
        <v>17308</v>
      </c>
      <c r="F64" s="253" t="s">
        <v>607</v>
      </c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</row>
    <row r="65" spans="1:24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</row>
    <row r="66" spans="1:24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</row>
    <row r="67" spans="1:24" ht="15.75">
      <c r="A67" s="297" t="s">
        <v>323</v>
      </c>
      <c r="B67" s="298"/>
      <c r="C67" s="64">
        <v>45968</v>
      </c>
      <c r="D67" s="177"/>
      <c r="E67" s="59"/>
      <c r="F67" s="178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</row>
    <row r="68" spans="1:24" ht="15.75">
      <c r="A68" s="179" t="s">
        <v>10</v>
      </c>
      <c r="B68" s="179" t="s">
        <v>153</v>
      </c>
      <c r="C68" s="179" t="s">
        <v>33</v>
      </c>
      <c r="D68" s="180" t="s">
        <v>324</v>
      </c>
      <c r="E68" s="179" t="s">
        <v>325</v>
      </c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</row>
    <row r="69" spans="1:24" ht="15.75">
      <c r="A69" s="122" t="s">
        <v>262</v>
      </c>
      <c r="B69" s="122" t="s">
        <v>272</v>
      </c>
      <c r="C69" s="166" t="s">
        <v>264</v>
      </c>
      <c r="D69" s="37" t="s">
        <v>25</v>
      </c>
      <c r="E69" s="110">
        <v>17308</v>
      </c>
      <c r="F69" s="253" t="s">
        <v>607</v>
      </c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</row>
    <row r="70" spans="1:24" ht="15.75">
      <c r="A70" s="122" t="s">
        <v>275</v>
      </c>
      <c r="B70" s="122" t="s">
        <v>276</v>
      </c>
      <c r="C70" s="166" t="s">
        <v>273</v>
      </c>
      <c r="D70" s="37" t="s">
        <v>25</v>
      </c>
      <c r="E70" s="110">
        <v>17308</v>
      </c>
      <c r="F70" s="253" t="s">
        <v>607</v>
      </c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</row>
    <row r="71" spans="1:24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</row>
    <row r="72" spans="1:24" ht="15.75">
      <c r="A72" s="179" t="s">
        <v>10</v>
      </c>
      <c r="B72" s="179" t="s">
        <v>153</v>
      </c>
      <c r="C72" s="179" t="s">
        <v>33</v>
      </c>
      <c r="D72" s="180" t="s">
        <v>324</v>
      </c>
      <c r="E72" s="179" t="s">
        <v>325</v>
      </c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</row>
    <row r="73" spans="1:24" ht="15.75">
      <c r="A73" s="196" t="s">
        <v>243</v>
      </c>
      <c r="B73" s="122" t="s">
        <v>244</v>
      </c>
      <c r="C73" s="255" t="s">
        <v>242</v>
      </c>
      <c r="D73" s="37" t="s">
        <v>25</v>
      </c>
      <c r="E73" s="110">
        <v>17308</v>
      </c>
      <c r="F73" s="253" t="s">
        <v>607</v>
      </c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</row>
    <row r="74" spans="1:24" ht="15.75">
      <c r="A74" s="122" t="s">
        <v>254</v>
      </c>
      <c r="B74" s="122" t="s">
        <v>257</v>
      </c>
      <c r="C74" s="255" t="s">
        <v>253</v>
      </c>
      <c r="D74" s="37" t="s">
        <v>25</v>
      </c>
      <c r="E74" s="110">
        <v>17308</v>
      </c>
      <c r="F74" s="253" t="s">
        <v>607</v>
      </c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</row>
    <row r="75" spans="1:24" ht="15.75">
      <c r="A75" s="122" t="s">
        <v>256</v>
      </c>
      <c r="B75" s="122" t="s">
        <v>260</v>
      </c>
      <c r="C75" s="232" t="s">
        <v>255</v>
      </c>
      <c r="D75" s="37" t="s">
        <v>25</v>
      </c>
      <c r="E75" s="133">
        <v>24627</v>
      </c>
      <c r="F75" s="253" t="s">
        <v>607</v>
      </c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</row>
    <row r="76" spans="1:24" ht="15.75">
      <c r="A76" s="122" t="s">
        <v>259</v>
      </c>
      <c r="B76" s="122" t="s">
        <v>261</v>
      </c>
      <c r="C76" s="166" t="s">
        <v>258</v>
      </c>
      <c r="D76" s="37" t="s">
        <v>25</v>
      </c>
      <c r="E76" s="133">
        <v>24627</v>
      </c>
      <c r="F76" s="253" t="s">
        <v>607</v>
      </c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</row>
    <row r="77" spans="1:24" ht="15.75">
      <c r="A77" s="122" t="s">
        <v>159</v>
      </c>
      <c r="B77" s="122" t="s">
        <v>169</v>
      </c>
      <c r="C77" s="266" t="s">
        <v>174</v>
      </c>
      <c r="D77" s="37" t="s">
        <v>25</v>
      </c>
      <c r="E77" s="133">
        <v>24627</v>
      </c>
      <c r="F77" s="253" t="s">
        <v>607</v>
      </c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</row>
    <row r="78" spans="1:24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</row>
    <row r="79" spans="1:24" ht="15.75">
      <c r="A79" s="297" t="s">
        <v>323</v>
      </c>
      <c r="B79" s="298"/>
      <c r="C79" s="64">
        <v>45968</v>
      </c>
      <c r="D79" s="177"/>
      <c r="E79" s="59"/>
      <c r="F79" s="178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</row>
    <row r="80" spans="1:24" ht="15.75">
      <c r="A80" s="179" t="s">
        <v>10</v>
      </c>
      <c r="B80" s="179" t="s">
        <v>153</v>
      </c>
      <c r="C80" s="179" t="s">
        <v>33</v>
      </c>
      <c r="D80" s="180" t="s">
        <v>324</v>
      </c>
      <c r="E80" s="179" t="s">
        <v>325</v>
      </c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</row>
    <row r="81" spans="1:24" ht="15.75">
      <c r="A81" s="122" t="s">
        <v>182</v>
      </c>
      <c r="B81" s="122" t="s">
        <v>187</v>
      </c>
      <c r="C81" s="66" t="s">
        <v>188</v>
      </c>
      <c r="D81" s="37" t="s">
        <v>25</v>
      </c>
      <c r="E81" s="133">
        <v>24627</v>
      </c>
      <c r="F81" s="253" t="s">
        <v>607</v>
      </c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</row>
    <row r="82" spans="1:24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</row>
    <row r="83" spans="1:24" ht="15.75">
      <c r="A83" s="297" t="s">
        <v>323</v>
      </c>
      <c r="B83" s="298"/>
      <c r="C83" s="64">
        <v>45968</v>
      </c>
      <c r="D83" s="177"/>
      <c r="E83" s="59"/>
      <c r="F83" s="178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</row>
    <row r="84" spans="1:24" ht="15.75">
      <c r="A84" s="179" t="s">
        <v>10</v>
      </c>
      <c r="B84" s="179" t="s">
        <v>153</v>
      </c>
      <c r="C84" s="179" t="s">
        <v>33</v>
      </c>
      <c r="D84" s="180" t="s">
        <v>324</v>
      </c>
      <c r="E84" s="179" t="s">
        <v>325</v>
      </c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</row>
    <row r="85" spans="1:24" ht="15.75">
      <c r="A85" s="122" t="s">
        <v>211</v>
      </c>
      <c r="B85" s="122" t="s">
        <v>212</v>
      </c>
      <c r="C85" s="166" t="s">
        <v>213</v>
      </c>
      <c r="D85" s="37" t="s">
        <v>25</v>
      </c>
      <c r="E85" s="110">
        <v>17308</v>
      </c>
      <c r="F85" s="253" t="s">
        <v>607</v>
      </c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</row>
    <row r="86" spans="1:24" ht="15.75">
      <c r="A86" s="122" t="s">
        <v>280</v>
      </c>
      <c r="B86" s="122" t="s">
        <v>282</v>
      </c>
      <c r="C86" s="232" t="s">
        <v>281</v>
      </c>
      <c r="D86" s="37" t="s">
        <v>25</v>
      </c>
      <c r="E86" s="110">
        <v>17308</v>
      </c>
      <c r="F86" s="253" t="s">
        <v>607</v>
      </c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</row>
    <row r="87" spans="1:24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</row>
    <row r="88" spans="1:24" ht="15.75">
      <c r="A88" s="297" t="s">
        <v>323</v>
      </c>
      <c r="B88" s="298"/>
      <c r="C88" s="64">
        <v>45968</v>
      </c>
      <c r="D88" s="177"/>
      <c r="E88" s="59"/>
      <c r="F88" s="178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</row>
    <row r="89" spans="1:24" ht="15.75">
      <c r="A89" s="179" t="s">
        <v>10</v>
      </c>
      <c r="B89" s="179" t="s">
        <v>153</v>
      </c>
      <c r="C89" s="179" t="s">
        <v>33</v>
      </c>
      <c r="D89" s="180" t="s">
        <v>324</v>
      </c>
      <c r="E89" s="179" t="s">
        <v>325</v>
      </c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</row>
    <row r="90" spans="1:24" ht="15.75">
      <c r="A90" s="122" t="s">
        <v>222</v>
      </c>
      <c r="B90" s="122" t="s">
        <v>223</v>
      </c>
      <c r="C90" s="232" t="s">
        <v>226</v>
      </c>
      <c r="D90" s="37" t="s">
        <v>25</v>
      </c>
      <c r="E90" s="110">
        <v>17308</v>
      </c>
      <c r="F90" s="253" t="s">
        <v>607</v>
      </c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</row>
    <row r="91" spans="1:24" ht="15.75">
      <c r="A91" s="122" t="s">
        <v>277</v>
      </c>
      <c r="B91" s="122" t="s">
        <v>278</v>
      </c>
      <c r="C91" s="166" t="s">
        <v>274</v>
      </c>
      <c r="D91" s="37" t="s">
        <v>25</v>
      </c>
      <c r="E91" s="110">
        <v>17308</v>
      </c>
      <c r="F91" s="253" t="s">
        <v>607</v>
      </c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</row>
    <row r="92" spans="1:24" ht="15.75">
      <c r="A92" s="122" t="s">
        <v>216</v>
      </c>
      <c r="B92" s="122" t="s">
        <v>217</v>
      </c>
      <c r="C92" s="166" t="s">
        <v>218</v>
      </c>
      <c r="D92" s="37" t="s">
        <v>25</v>
      </c>
      <c r="E92" s="110">
        <v>17308</v>
      </c>
      <c r="F92" s="253" t="s">
        <v>607</v>
      </c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</row>
    <row r="93" spans="1:24" ht="15.75">
      <c r="A93" s="122" t="s">
        <v>220</v>
      </c>
      <c r="B93" s="122" t="s">
        <v>221</v>
      </c>
      <c r="C93" s="166" t="s">
        <v>225</v>
      </c>
      <c r="D93" s="37" t="s">
        <v>25</v>
      </c>
      <c r="E93" s="110">
        <v>17308</v>
      </c>
      <c r="F93" s="253" t="s">
        <v>607</v>
      </c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</row>
    <row r="94" spans="1:24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</row>
    <row r="95" spans="1:24" ht="15.75">
      <c r="A95" s="297" t="s">
        <v>323</v>
      </c>
      <c r="B95" s="298"/>
      <c r="C95" s="64">
        <v>45968</v>
      </c>
      <c r="D95" s="177"/>
      <c r="E95" s="59"/>
      <c r="F95" s="178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</row>
    <row r="96" spans="1:24" ht="15.75">
      <c r="A96" s="179" t="s">
        <v>10</v>
      </c>
      <c r="B96" s="179" t="s">
        <v>153</v>
      </c>
      <c r="C96" s="179" t="s">
        <v>33</v>
      </c>
      <c r="D96" s="180" t="s">
        <v>324</v>
      </c>
      <c r="E96" s="179" t="s">
        <v>325</v>
      </c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</row>
    <row r="97" spans="1:23" ht="15.75">
      <c r="A97" s="267" t="s">
        <v>200</v>
      </c>
      <c r="B97" s="267" t="s">
        <v>204</v>
      </c>
      <c r="C97" s="166" t="s">
        <v>199</v>
      </c>
      <c r="D97" s="37" t="s">
        <v>25</v>
      </c>
      <c r="E97" s="110">
        <v>17308</v>
      </c>
      <c r="F97" s="253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</row>
    <row r="98" spans="1:23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</row>
    <row r="99" spans="1:23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</row>
    <row r="100" spans="1:23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</row>
    <row r="101" spans="1:23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</row>
    <row r="102" spans="1:23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</row>
    <row r="103" spans="1:23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</row>
    <row r="104" spans="1:23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</row>
    <row r="105" spans="1:23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</row>
    <row r="106" spans="1:23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</row>
    <row r="107" spans="1:23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</row>
    <row r="108" spans="1:23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</row>
    <row r="109" spans="1:23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</row>
    <row r="110" spans="1:23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</row>
    <row r="111" spans="1:23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</row>
    <row r="112" spans="1:23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</row>
    <row r="113" spans="1:18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</row>
    <row r="114" spans="1:18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</row>
    <row r="115" spans="1:18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</row>
    <row r="116" spans="1:18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</row>
    <row r="117" spans="1:18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</row>
    <row r="118" spans="1:18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</row>
    <row r="119" spans="1:18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</row>
    <row r="120" spans="1:18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</row>
    <row r="121" spans="1:18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</row>
    <row r="122" spans="1:18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</row>
    <row r="123" spans="1:18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</row>
    <row r="124" spans="1:18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</row>
    <row r="125" spans="1:18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</row>
    <row r="126" spans="1:18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</row>
    <row r="127" spans="1:18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</row>
    <row r="128" spans="1:18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</row>
    <row r="129" spans="1:18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</row>
    <row r="130" spans="1:18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</row>
    <row r="131" spans="1:18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</row>
    <row r="132" spans="1:18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</row>
    <row r="133" spans="1:18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</row>
    <row r="134" spans="1:18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</row>
    <row r="135" spans="1:18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</row>
    <row r="136" spans="1:18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</row>
    <row r="137" spans="1:18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</row>
    <row r="138" spans="1:18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</row>
    <row r="139" spans="1:18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</row>
    <row r="140" spans="1:18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</row>
    <row r="141" spans="1:18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</row>
    <row r="142" spans="1:18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</row>
    <row r="143" spans="1:18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</row>
    <row r="144" spans="1:18">
      <c r="A144" s="182"/>
      <c r="B144" s="182"/>
      <c r="C144" s="182"/>
      <c r="D144" s="182"/>
      <c r="E144" s="182"/>
      <c r="F144" s="182"/>
      <c r="G144" s="182"/>
      <c r="H144" s="182"/>
      <c r="I144" s="182"/>
    </row>
  </sheetData>
  <mergeCells count="17">
    <mergeCell ref="A3:B3"/>
    <mergeCell ref="A9:B9"/>
    <mergeCell ref="A13:B13"/>
    <mergeCell ref="A17:B17"/>
    <mergeCell ref="A21:B21"/>
    <mergeCell ref="A67:B67"/>
    <mergeCell ref="A62:B62"/>
    <mergeCell ref="A57:B57"/>
    <mergeCell ref="A95:B95"/>
    <mergeCell ref="A25:B25"/>
    <mergeCell ref="A88:B88"/>
    <mergeCell ref="A52:B52"/>
    <mergeCell ref="A46:B46"/>
    <mergeCell ref="A33:B33"/>
    <mergeCell ref="A29:B29"/>
    <mergeCell ref="A79:B79"/>
    <mergeCell ref="A83:B83"/>
  </mergeCells>
  <hyperlinks>
    <hyperlink ref="A73" r:id="rId1" display="javascript:__doPostBack('ctl00$Conteudo$grdBuscaAvancada$ctl02$lnkCD_Inscricao','')" xr:uid="{45A4E59A-0758-472E-ADBB-D7711397C21D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58AE-7624-4E38-8DE0-64688403A3FD}">
  <dimension ref="A1:I67"/>
  <sheetViews>
    <sheetView workbookViewId="0">
      <selection activeCell="C15" sqref="C15"/>
    </sheetView>
  </sheetViews>
  <sheetFormatPr defaultRowHeight="15"/>
  <cols>
    <col min="1" max="1" width="17.42578125" bestFit="1" customWidth="1"/>
    <col min="2" max="2" width="14.7109375" customWidth="1"/>
    <col min="3" max="3" width="53.5703125" bestFit="1" customWidth="1"/>
    <col min="4" max="4" width="18" customWidth="1"/>
    <col min="5" max="5" width="18.42578125" customWidth="1"/>
    <col min="6" max="6" width="14.140625" customWidth="1"/>
    <col min="7" max="7" width="13" customWidth="1"/>
    <col min="8" max="8" width="13.140625" customWidth="1"/>
    <col min="9" max="9" width="13.28515625" customWidth="1"/>
    <col min="10" max="10" width="11.5703125" bestFit="1" customWidth="1"/>
  </cols>
  <sheetData>
    <row r="1" spans="1:9" ht="15.75">
      <c r="C1" s="125" t="s">
        <v>151</v>
      </c>
    </row>
    <row r="2" spans="1:9" ht="15.75">
      <c r="C2" s="126" t="s">
        <v>152</v>
      </c>
    </row>
    <row r="3" spans="1:9" ht="17.25">
      <c r="A3" s="127" t="s">
        <v>10</v>
      </c>
      <c r="B3" s="127" t="s">
        <v>153</v>
      </c>
      <c r="C3" s="18" t="s">
        <v>15</v>
      </c>
      <c r="D3" s="18" t="s">
        <v>154</v>
      </c>
      <c r="E3" s="18" t="s">
        <v>17</v>
      </c>
      <c r="F3" s="25">
        <v>45839</v>
      </c>
    </row>
    <row r="4" spans="1:9" ht="15.75">
      <c r="A4" s="124" t="s">
        <v>88</v>
      </c>
      <c r="B4" s="124" t="s">
        <v>89</v>
      </c>
      <c r="C4" s="130" t="s">
        <v>287</v>
      </c>
      <c r="D4" s="128">
        <v>17308</v>
      </c>
      <c r="E4" s="129">
        <v>80000</v>
      </c>
      <c r="F4" s="124" t="s">
        <v>27</v>
      </c>
    </row>
    <row r="7" spans="1:9" ht="15.75">
      <c r="C7" s="125" t="s">
        <v>151</v>
      </c>
    </row>
    <row r="8" spans="1:9" ht="15.75">
      <c r="C8" s="126" t="s">
        <v>405</v>
      </c>
    </row>
    <row r="9" spans="1:9" ht="17.25">
      <c r="A9" s="127" t="s">
        <v>10</v>
      </c>
      <c r="B9" s="127" t="s">
        <v>153</v>
      </c>
      <c r="C9" s="18" t="s">
        <v>15</v>
      </c>
      <c r="D9" s="18" t="s">
        <v>154</v>
      </c>
      <c r="E9" s="18" t="s">
        <v>17</v>
      </c>
      <c r="F9" s="25">
        <v>45748</v>
      </c>
      <c r="G9" s="25">
        <v>45778</v>
      </c>
      <c r="H9" s="25">
        <v>45809</v>
      </c>
    </row>
    <row r="10" spans="1:9" ht="15.75">
      <c r="A10" s="190" t="s">
        <v>104</v>
      </c>
      <c r="B10" s="190" t="s">
        <v>108</v>
      </c>
      <c r="C10" s="8" t="s">
        <v>114</v>
      </c>
      <c r="D10" s="192">
        <v>17308</v>
      </c>
      <c r="E10" s="193">
        <v>110000</v>
      </c>
      <c r="F10" s="191" t="s">
        <v>28</v>
      </c>
      <c r="G10" s="191" t="s">
        <v>26</v>
      </c>
      <c r="H10" s="191" t="s">
        <v>25</v>
      </c>
    </row>
    <row r="12" spans="1:9" ht="15.75">
      <c r="C12" s="125" t="s">
        <v>151</v>
      </c>
    </row>
    <row r="13" spans="1:9" ht="15.75">
      <c r="C13" s="126" t="s">
        <v>669</v>
      </c>
    </row>
    <row r="14" spans="1:9" ht="17.25">
      <c r="A14" s="127" t="s">
        <v>10</v>
      </c>
      <c r="B14" s="127" t="s">
        <v>153</v>
      </c>
      <c r="C14" s="18" t="s">
        <v>15</v>
      </c>
      <c r="D14" s="18" t="s">
        <v>154</v>
      </c>
      <c r="E14" s="18" t="s">
        <v>17</v>
      </c>
      <c r="F14" s="25">
        <v>45870</v>
      </c>
      <c r="G14" s="25">
        <v>45901</v>
      </c>
      <c r="H14" s="25">
        <v>45931</v>
      </c>
      <c r="I14" s="24">
        <v>45962</v>
      </c>
    </row>
    <row r="15" spans="1:9" ht="15" customHeight="1">
      <c r="A15" s="190" t="s">
        <v>66</v>
      </c>
      <c r="B15" s="190" t="s">
        <v>71</v>
      </c>
      <c r="C15" s="8" t="s">
        <v>81</v>
      </c>
      <c r="D15" s="192">
        <v>17308</v>
      </c>
      <c r="E15" s="279">
        <v>60000</v>
      </c>
      <c r="F15" s="191" t="s">
        <v>26</v>
      </c>
      <c r="G15" s="191" t="s">
        <v>25</v>
      </c>
      <c r="H15" s="191" t="s">
        <v>22</v>
      </c>
      <c r="I15" s="191" t="s">
        <v>23</v>
      </c>
    </row>
    <row r="16" spans="1:9" ht="15.75">
      <c r="A16" s="190" t="s">
        <v>75</v>
      </c>
      <c r="B16" s="190" t="s">
        <v>84</v>
      </c>
      <c r="C16" s="8" t="s">
        <v>85</v>
      </c>
      <c r="D16" s="192">
        <v>17308</v>
      </c>
      <c r="E16" s="280">
        <v>190000</v>
      </c>
      <c r="F16" s="191" t="s">
        <v>26</v>
      </c>
      <c r="G16" s="191" t="s">
        <v>25</v>
      </c>
      <c r="H16" s="191" t="s">
        <v>22</v>
      </c>
      <c r="I16" s="191" t="s">
        <v>23</v>
      </c>
    </row>
    <row r="17" spans="1:9" ht="15.75">
      <c r="A17" s="281" t="s">
        <v>166</v>
      </c>
      <c r="B17" s="190" t="s">
        <v>179</v>
      </c>
      <c r="C17" s="8" t="s">
        <v>177</v>
      </c>
      <c r="D17" s="192">
        <v>17308</v>
      </c>
      <c r="E17" s="193">
        <v>70000</v>
      </c>
      <c r="F17" s="190" t="s">
        <v>28</v>
      </c>
      <c r="G17" s="190" t="s">
        <v>26</v>
      </c>
      <c r="H17" s="190" t="s">
        <v>25</v>
      </c>
      <c r="I17" s="190" t="s">
        <v>22</v>
      </c>
    </row>
    <row r="18" spans="1:9" ht="15.75">
      <c r="A18" s="190" t="s">
        <v>214</v>
      </c>
      <c r="B18" s="190" t="s">
        <v>215</v>
      </c>
      <c r="C18" s="269" t="s">
        <v>219</v>
      </c>
      <c r="D18" s="192">
        <v>17308</v>
      </c>
      <c r="E18" s="193">
        <v>200000</v>
      </c>
      <c r="F18" s="190" t="s">
        <v>27</v>
      </c>
      <c r="G18" s="190" t="s">
        <v>28</v>
      </c>
      <c r="H18" s="190" t="s">
        <v>26</v>
      </c>
      <c r="I18" s="190" t="s">
        <v>25</v>
      </c>
    </row>
    <row r="67" spans="7:7">
      <c r="G67">
        <v>17308</v>
      </c>
    </row>
  </sheetData>
  <hyperlinks>
    <hyperlink ref="A17" r:id="rId1" display="javascript:__doPostBack('ctl00$Conteudo$grdBuscaAvancada$ctl02$lnkCD_Inscricao','')" xr:uid="{B6A1A609-F6E5-4952-8277-9AE64406FB21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1F68-1954-47F8-9092-230DCA7EA6D7}">
  <dimension ref="B2:C17"/>
  <sheetViews>
    <sheetView topLeftCell="A7" workbookViewId="0">
      <selection activeCell="C28" sqref="C28"/>
    </sheetView>
  </sheetViews>
  <sheetFormatPr defaultRowHeight="15"/>
  <cols>
    <col min="2" max="2" width="38.85546875" bestFit="1" customWidth="1"/>
    <col min="3" max="3" width="27.85546875" bestFit="1" customWidth="1"/>
  </cols>
  <sheetData>
    <row r="2" spans="2:3" ht="26.25">
      <c r="B2" s="299" t="s">
        <v>51</v>
      </c>
      <c r="C2" s="300"/>
    </row>
    <row r="5" spans="2:3" ht="26.25">
      <c r="B5" s="301" t="s">
        <v>53</v>
      </c>
      <c r="C5" s="302"/>
    </row>
    <row r="7" spans="2:3" ht="19.5">
      <c r="B7" s="101" t="s">
        <v>54</v>
      </c>
      <c r="C7" s="101" t="s">
        <v>55</v>
      </c>
    </row>
    <row r="8" spans="2:3" ht="18.75">
      <c r="B8" s="102" t="s">
        <v>56</v>
      </c>
      <c r="C8" s="103">
        <f>-C9</f>
        <v>0</v>
      </c>
    </row>
    <row r="9" spans="2:3" ht="18.75">
      <c r="B9" s="102" t="s">
        <v>57</v>
      </c>
      <c r="C9" s="103">
        <f>'[1]CONTROLE DE VENDAS'!C132</f>
        <v>0</v>
      </c>
    </row>
    <row r="10" spans="2:3" ht="18.75">
      <c r="B10" s="102" t="s">
        <v>147</v>
      </c>
      <c r="C10" s="103">
        <v>1714000</v>
      </c>
    </row>
    <row r="11" spans="2:3" ht="18.75">
      <c r="B11" s="102" t="s">
        <v>58</v>
      </c>
      <c r="C11" s="104">
        <f>SUM('CONTROLE DE VENDAS '!C127)</f>
        <v>2832000</v>
      </c>
    </row>
    <row r="12" spans="2:3" ht="18.75">
      <c r="B12" s="102" t="s">
        <v>59</v>
      </c>
      <c r="C12" s="104">
        <f>SUM('CONTROLE DE VENDAS '!C155)</f>
        <v>3125000</v>
      </c>
    </row>
    <row r="13" spans="2:3" ht="18.75">
      <c r="B13" s="102" t="s">
        <v>60</v>
      </c>
      <c r="C13" s="104">
        <f>SUM('CONTROLE DE VENDAS '!C191)</f>
        <v>3201000</v>
      </c>
    </row>
    <row r="14" spans="2:3" ht="18.75">
      <c r="B14" s="102" t="s">
        <v>61</v>
      </c>
      <c r="C14" s="104">
        <f>'[1]CONTROLE DE VENDAS'!C258</f>
        <v>0</v>
      </c>
    </row>
    <row r="15" spans="2:3" ht="18.75">
      <c r="B15" s="102" t="s">
        <v>62</v>
      </c>
      <c r="C15" s="104">
        <f>'[1]CONTROLE DE VENDAS'!C292</f>
        <v>0</v>
      </c>
    </row>
    <row r="16" spans="2:3" ht="18.75">
      <c r="B16" s="102" t="s">
        <v>63</v>
      </c>
      <c r="C16" s="104">
        <f>'[1]CONTROLE DE VENDAS'!C326</f>
        <v>0</v>
      </c>
    </row>
    <row r="17" spans="2:3" ht="22.5">
      <c r="B17" s="105" t="s">
        <v>64</v>
      </c>
      <c r="C17" s="106">
        <f>SUM(C10:C16)</f>
        <v>10872000</v>
      </c>
    </row>
  </sheetData>
  <mergeCells count="2">
    <mergeCell ref="B2:C2"/>
    <mergeCell ref="B5:C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 GERAL </vt:lpstr>
      <vt:lpstr>Planilha1</vt:lpstr>
      <vt:lpstr>CONTROLE DE VENDAS </vt:lpstr>
      <vt:lpstr>COMISSÃO 4º PARCELA</vt:lpstr>
      <vt:lpstr>CANCELADO</vt:lpstr>
      <vt:lpstr>VENDAS ANUAIS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Cred Master - C. ADM</cp:lastModifiedBy>
  <cp:lastPrinted>2025-11-17T13:15:50Z</cp:lastPrinted>
  <dcterms:created xsi:type="dcterms:W3CDTF">2025-04-16T18:53:55Z</dcterms:created>
  <dcterms:modified xsi:type="dcterms:W3CDTF">2025-11-25T23:45:09Z</dcterms:modified>
</cp:coreProperties>
</file>